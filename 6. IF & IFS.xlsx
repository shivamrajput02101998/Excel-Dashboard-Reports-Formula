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513" documentId="8_{37BD0495-F64C-4C3B-9266-AC20E173990F}" xr6:coauthVersionLast="47" xr6:coauthVersionMax="47" xr10:uidLastSave="{B73E3917-F959-4908-ACD8-5A4C01D6E2E8}"/>
  <bookViews>
    <workbookView xWindow="-108" yWindow="-108" windowWidth="23256" windowHeight="12576" firstSheet="1" activeTab="1" xr2:uid="{2FA077B6-5523-4B8F-BDB1-ABB70BDB150E}"/>
  </bookViews>
  <sheets>
    <sheet name="IF" sheetId="1" r:id="rId1"/>
    <sheet name="IF &amp; IFS" sheetId="2" r:id="rId2"/>
    <sheet name="IF (1)" sheetId="3" r:id="rId3"/>
    <sheet name="IF (2)" sheetId="4" r:id="rId4"/>
    <sheet name="IF (3)" sheetId="5" r:id="rId5"/>
    <sheet name="IF (4)" sheetId="7" r:id="rId6"/>
    <sheet name="IF (5)" sheetId="8" r:id="rId7"/>
    <sheet name="IF (6)" sheetId="9" r:id="rId8"/>
    <sheet name="IF (7)" sheetId="10" r:id="rId9"/>
    <sheet name="IF (8)" sheetId="11" r:id="rId10"/>
    <sheet name="IF (9)" sheetId="12" r:id="rId11"/>
    <sheet name="IF (10)" sheetId="13" r:id="rId12"/>
    <sheet name="IFS (1)" sheetId="14" r:id="rId13"/>
    <sheet name="IFS (2)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 a="1"/>
  <c r="E3" i="2" s="1"/>
  <c r="D3" i="2"/>
  <c r="D6" i="15" a="1"/>
  <c r="D6" i="15" s="1"/>
  <c r="D7" i="15" a="1"/>
  <c r="D7" i="15" s="1"/>
  <c r="D8" i="15" a="1"/>
  <c r="D8" i="15" s="1"/>
  <c r="D9" i="15" a="1"/>
  <c r="D9" i="15" s="1"/>
  <c r="D10" i="15" a="1"/>
  <c r="D10" i="15" s="1"/>
  <c r="D11" i="15" a="1"/>
  <c r="D11" i="15" s="1"/>
  <c r="D12" i="15" a="1"/>
  <c r="D12" i="15" s="1"/>
  <c r="D13" i="15" a="1"/>
  <c r="D13" i="15" s="1"/>
  <c r="D5" i="15" a="1"/>
  <c r="D5" i="15" s="1"/>
  <c r="D9" i="14" a="1"/>
  <c r="D9" i="14" s="1"/>
  <c r="D10" i="14" a="1"/>
  <c r="D10" i="14" s="1"/>
  <c r="D11" i="14" a="1"/>
  <c r="D11" i="14" s="1"/>
  <c r="D12" i="14" a="1"/>
  <c r="D12" i="14" s="1"/>
  <c r="D13" i="14" a="1"/>
  <c r="D13" i="14" s="1"/>
  <c r="D8" i="14" a="1"/>
  <c r="D8" i="14" s="1"/>
  <c r="D7" i="14"/>
  <c r="G5" i="13"/>
  <c r="G6" i="13"/>
  <c r="G7" i="13"/>
  <c r="G8" i="13"/>
  <c r="G9" i="13"/>
  <c r="G10" i="13"/>
  <c r="G4" i="13"/>
  <c r="F5" i="12"/>
  <c r="F6" i="12"/>
  <c r="F7" i="12"/>
  <c r="F8" i="12"/>
  <c r="F9" i="12"/>
  <c r="F10" i="12"/>
  <c r="F4" i="12"/>
  <c r="C11" i="11"/>
  <c r="D5" i="10" l="1"/>
  <c r="D6" i="10"/>
  <c r="D7" i="10"/>
  <c r="D8" i="10"/>
  <c r="D9" i="10"/>
  <c r="D4" i="10"/>
  <c r="E5" i="9"/>
  <c r="E6" i="9"/>
  <c r="E7" i="9"/>
  <c r="E8" i="9"/>
  <c r="E9" i="9"/>
  <c r="E4" i="9"/>
  <c r="D5" i="8"/>
  <c r="D6" i="8"/>
  <c r="D7" i="8"/>
  <c r="D4" i="8"/>
  <c r="D7" i="7"/>
  <c r="D4" i="7"/>
  <c r="D5" i="7"/>
  <c r="D6" i="7"/>
  <c r="D8" i="7"/>
  <c r="D9" i="7"/>
  <c r="D10" i="7"/>
  <c r="D5" i="5"/>
  <c r="D6" i="5"/>
  <c r="D7" i="5"/>
  <c r="D8" i="5"/>
  <c r="D9" i="5"/>
  <c r="D10" i="5"/>
  <c r="D4" i="5"/>
  <c r="E5" i="4"/>
  <c r="E6" i="4"/>
  <c r="E7" i="4"/>
  <c r="E8" i="4"/>
  <c r="E9" i="4"/>
  <c r="E10" i="4"/>
  <c r="E4" i="4"/>
  <c r="D5" i="4"/>
  <c r="D6" i="4"/>
  <c r="D7" i="4"/>
  <c r="D8" i="4"/>
  <c r="D9" i="4"/>
  <c r="D10" i="4"/>
  <c r="D4" i="4"/>
  <c r="D5" i="3"/>
  <c r="D6" i="3"/>
  <c r="D7" i="3"/>
  <c r="D8" i="3"/>
  <c r="D9" i="3"/>
  <c r="D10" i="3"/>
  <c r="D4" i="3"/>
  <c r="E12" i="2" a="1"/>
  <c r="E12" i="2" s="1"/>
  <c r="D12" i="2"/>
  <c r="E11" i="2" a="1"/>
  <c r="E11" i="2" s="1"/>
  <c r="D11" i="2"/>
  <c r="E10" i="2" a="1"/>
  <c r="E10" i="2" s="1"/>
  <c r="D10" i="2"/>
  <c r="E9" i="2"/>
  <c r="E9" i="2" a="1"/>
  <c r="D9" i="2"/>
  <c r="E8" i="2" a="1"/>
  <c r="E8" i="2" s="1"/>
  <c r="D8" i="2"/>
  <c r="E7" i="2"/>
  <c r="E7" i="2" a="1"/>
  <c r="D7" i="2"/>
  <c r="E6" i="2" a="1"/>
  <c r="E6" i="2" s="1"/>
  <c r="D6" i="2"/>
  <c r="E5" i="2"/>
  <c r="E5" i="2" a="1"/>
  <c r="D5" i="2"/>
  <c r="E4" i="2" a="1"/>
  <c r="E4" i="2" s="1"/>
  <c r="D4" i="2"/>
  <c r="F12" i="1"/>
  <c r="F11" i="1"/>
  <c r="F10" i="1"/>
  <c r="F9" i="1"/>
  <c r="F8" i="1"/>
  <c r="F7" i="1"/>
  <c r="F6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<sst xmlns="http://schemas.openxmlformats.org/spreadsheetml/2006/main" count="236" uniqueCount="133">
  <si>
    <t>Interview Candidates</t>
  </si>
  <si>
    <t>Name</t>
  </si>
  <si>
    <t>Age</t>
  </si>
  <si>
    <t>Gender</t>
  </si>
  <si>
    <t>Address</t>
  </si>
  <si>
    <t>Remark</t>
  </si>
  <si>
    <t>Rahul</t>
  </si>
  <si>
    <t>Male</t>
  </si>
  <si>
    <t>Noida</t>
  </si>
  <si>
    <t>Join24+ Only</t>
  </si>
  <si>
    <t>Rajesh</t>
  </si>
  <si>
    <t>Delhi</t>
  </si>
  <si>
    <t>Mahesh</t>
  </si>
  <si>
    <t>Suresh</t>
  </si>
  <si>
    <t>Amit</t>
  </si>
  <si>
    <t>Harsh</t>
  </si>
  <si>
    <t>Nishant</t>
  </si>
  <si>
    <t>Brijesh</t>
  </si>
  <si>
    <t>IF</t>
  </si>
  <si>
    <t>IFS</t>
  </si>
  <si>
    <t>Sr. no.</t>
  </si>
  <si>
    <t>Team Leader</t>
  </si>
  <si>
    <t>Mark%</t>
  </si>
  <si>
    <t>Grade</t>
  </si>
  <si>
    <t>Nested If</t>
  </si>
  <si>
    <t>Maduri Parit</t>
  </si>
  <si>
    <t>A++</t>
  </si>
  <si>
    <t>Arvind Singh</t>
  </si>
  <si>
    <t>A+</t>
  </si>
  <si>
    <t>Shoaib Malik</t>
  </si>
  <si>
    <t>A</t>
  </si>
  <si>
    <t>Raj Jadhav</t>
  </si>
  <si>
    <t>B</t>
  </si>
  <si>
    <t>Rajni Sharma</t>
  </si>
  <si>
    <t>C</t>
  </si>
  <si>
    <t>Vinod Kumar</t>
  </si>
  <si>
    <t>FAIL</t>
  </si>
  <si>
    <t>Nikhil Yadav</t>
  </si>
  <si>
    <t>Arjun Pandey</t>
  </si>
  <si>
    <t>Rupa Singh</t>
  </si>
  <si>
    <t>Arti Pande</t>
  </si>
  <si>
    <t>Basic Concept of IF Formula</t>
  </si>
  <si>
    <t>Marks</t>
  </si>
  <si>
    <t>Status</t>
  </si>
  <si>
    <t>Name 1</t>
  </si>
  <si>
    <t>Name 2</t>
  </si>
  <si>
    <t>Name 3</t>
  </si>
  <si>
    <t>Name 4</t>
  </si>
  <si>
    <t>Name 5</t>
  </si>
  <si>
    <t>Name 6</t>
  </si>
  <si>
    <t>Name 7</t>
  </si>
  <si>
    <t>Use Smiley in IF Formula</t>
  </si>
  <si>
    <t>Name of Fail Students</t>
  </si>
  <si>
    <t>Extract Name of Fail Students With Marks</t>
  </si>
  <si>
    <t xml:space="preserve"> </t>
  </si>
  <si>
    <t>Add Mr. Miss in Names</t>
  </si>
  <si>
    <t>Anil Kumar</t>
  </si>
  <si>
    <t>Reetu</t>
  </si>
  <si>
    <t>Rohit</t>
  </si>
  <si>
    <t>Teena</t>
  </si>
  <si>
    <t>Sonu</t>
  </si>
  <si>
    <t>Raj</t>
  </si>
  <si>
    <t>Neha</t>
  </si>
  <si>
    <t>Female</t>
  </si>
  <si>
    <t>MrAnil Kumar</t>
  </si>
  <si>
    <t>MissReetu</t>
  </si>
  <si>
    <t>MrRohit</t>
  </si>
  <si>
    <t>MissTeena</t>
  </si>
  <si>
    <t>MrSonu</t>
  </si>
  <si>
    <t>MrRaj</t>
  </si>
  <si>
    <t>MissNeha</t>
  </si>
  <si>
    <t>Compare Two Values Using IF Formula</t>
  </si>
  <si>
    <t>Password</t>
  </si>
  <si>
    <t>Confirm Password</t>
  </si>
  <si>
    <t>Is Match ?</t>
  </si>
  <si>
    <t>23erdwed33</t>
  </si>
  <si>
    <t>asd12!!!2d</t>
  </si>
  <si>
    <t>34fd3435</t>
  </si>
  <si>
    <t>34fd3437</t>
  </si>
  <si>
    <t>Increase Computer Price By 5%</t>
  </si>
  <si>
    <t>HSN Code</t>
  </si>
  <si>
    <t>Product</t>
  </si>
  <si>
    <t>Price</t>
  </si>
  <si>
    <t>New Price</t>
  </si>
  <si>
    <t>HPP001</t>
  </si>
  <si>
    <t>HPP002</t>
  </si>
  <si>
    <t>HPP003</t>
  </si>
  <si>
    <t>HPP004</t>
  </si>
  <si>
    <t>HPP005</t>
  </si>
  <si>
    <t>HPP006</t>
  </si>
  <si>
    <t>Computer</t>
  </si>
  <si>
    <t>Laptop HP i5</t>
  </si>
  <si>
    <t>Cpu</t>
  </si>
  <si>
    <t>Laptop HP i7</t>
  </si>
  <si>
    <t>CPU</t>
  </si>
  <si>
    <t>Salary Increment Rule : Manager(5000), Clark(3000), Accountant(1500)</t>
  </si>
  <si>
    <t>Designation</t>
  </si>
  <si>
    <t>Salary</t>
  </si>
  <si>
    <t>Salary After Increment</t>
  </si>
  <si>
    <t>Manager</t>
  </si>
  <si>
    <t>Clark</t>
  </si>
  <si>
    <t>Accountant</t>
  </si>
  <si>
    <t>Hide Zero Returned By Sum Formula</t>
  </si>
  <si>
    <t>Total</t>
  </si>
  <si>
    <t>Phy</t>
  </si>
  <si>
    <t>Che</t>
  </si>
  <si>
    <t>Math</t>
  </si>
  <si>
    <t>Result</t>
  </si>
  <si>
    <t>Grade Average</t>
  </si>
  <si>
    <t>81% - 100%</t>
  </si>
  <si>
    <t>61% - 80%</t>
  </si>
  <si>
    <t>41% - 60%</t>
  </si>
  <si>
    <t>0% - 40%</t>
  </si>
  <si>
    <t>D</t>
  </si>
  <si>
    <t>Item Name</t>
  </si>
  <si>
    <t>Sales Target</t>
  </si>
  <si>
    <t>Total Sale</t>
  </si>
  <si>
    <t>Higher | Lower | Equal</t>
  </si>
  <si>
    <t>Item 1</t>
  </si>
  <si>
    <t>Item 2</t>
  </si>
  <si>
    <t>Item 3</t>
  </si>
  <si>
    <t>Item 4</t>
  </si>
  <si>
    <t>Item 5</t>
  </si>
  <si>
    <t>Item 6</t>
  </si>
  <si>
    <t>Item 7</t>
  </si>
  <si>
    <t>Student Name</t>
  </si>
  <si>
    <t>Name 8</t>
  </si>
  <si>
    <t>Name 9</t>
  </si>
  <si>
    <t>&lt; 30</t>
  </si>
  <si>
    <t>30 - 50</t>
  </si>
  <si>
    <t>51 - 80</t>
  </si>
  <si>
    <t>81 - 100</t>
  </si>
  <si>
    <t>SHIVAM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</si>
</sst>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8DF21927-2098-4AEF-82C7-5BFBCC22C3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F488-F0A6-4DFA-93B4-6DB542F9A65C}">
  <dimension ref="A1:K12"/>
  <sheetViews>
    <sheetView workbookViewId="0">
      <selection activeCell="G12" sqref="G12"/>
    </sheetView>
  </sheetViews>
  <sheetFormatPr defaultRowHeight="14.4" x14ac:dyDescent="0.3"/>
  <cols>
    <col min="3" max="3" width="11.6640625" bestFit="1" customWidth="1"/>
    <col min="4" max="4" width="12.44140625" bestFit="1" customWidth="1"/>
    <col min="5" max="5" width="11.109375" customWidth="1"/>
    <col min="6" max="6" width="25.6640625" customWidth="1"/>
  </cols>
  <sheetData>
    <row r="1" spans="1:11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3.4" x14ac:dyDescent="0.3">
      <c r="A4" s="1" t="s">
        <v>1</v>
      </c>
      <c r="B4" s="1" t="s">
        <v>2</v>
      </c>
      <c r="C4" s="1" t="s">
        <v>3</v>
      </c>
      <c r="D4" s="1" t="s">
        <v>4</v>
      </c>
      <c r="E4" s="1"/>
      <c r="F4" s="1" t="s">
        <v>5</v>
      </c>
    </row>
    <row r="5" spans="1:11" ht="18" x14ac:dyDescent="0.3">
      <c r="A5" s="2" t="s">
        <v>6</v>
      </c>
      <c r="B5" s="2">
        <v>33</v>
      </c>
      <c r="C5" s="2" t="s">
        <v>7</v>
      </c>
      <c r="D5" s="2" t="s">
        <v>8</v>
      </c>
      <c r="E5" s="2"/>
      <c r="F5" s="2" t="str">
        <f>IF(B5&gt;=24,"Accepted","rejected")</f>
        <v>Accepted</v>
      </c>
      <c r="I5" s="34" t="s">
        <v>9</v>
      </c>
      <c r="J5" s="34"/>
      <c r="K5" s="34"/>
    </row>
    <row r="6" spans="1:11" ht="18" x14ac:dyDescent="0.3">
      <c r="A6" s="2" t="s">
        <v>10</v>
      </c>
      <c r="B6" s="2">
        <v>18</v>
      </c>
      <c r="C6" s="2" t="s">
        <v>7</v>
      </c>
      <c r="D6" s="2" t="s">
        <v>11</v>
      </c>
      <c r="E6" s="2"/>
      <c r="F6" s="2" t="str">
        <f t="shared" ref="F6:F12" si="0">IF(B6&gt;=24,"Accepted","rejected")</f>
        <v>rejected</v>
      </c>
      <c r="I6" s="34"/>
      <c r="J6" s="34"/>
      <c r="K6" s="34"/>
    </row>
    <row r="7" spans="1:11" ht="18" x14ac:dyDescent="0.3">
      <c r="A7" s="2" t="s">
        <v>12</v>
      </c>
      <c r="B7" s="2">
        <v>45</v>
      </c>
      <c r="C7" s="2" t="s">
        <v>7</v>
      </c>
      <c r="D7" s="2" t="s">
        <v>8</v>
      </c>
      <c r="E7" s="2"/>
      <c r="F7" s="2" t="str">
        <f t="shared" si="0"/>
        <v>Accepted</v>
      </c>
      <c r="I7" s="34"/>
      <c r="J7" s="34"/>
      <c r="K7" s="34"/>
    </row>
    <row r="8" spans="1:11" ht="18" x14ac:dyDescent="0.3">
      <c r="A8" s="2" t="s">
        <v>13</v>
      </c>
      <c r="B8" s="2">
        <v>33</v>
      </c>
      <c r="C8" s="2" t="s">
        <v>7</v>
      </c>
      <c r="D8" s="2" t="s">
        <v>11</v>
      </c>
      <c r="E8" s="2"/>
      <c r="F8" s="2" t="str">
        <f t="shared" si="0"/>
        <v>Accepted</v>
      </c>
      <c r="I8" s="34"/>
      <c r="J8" s="34"/>
      <c r="K8" s="34"/>
    </row>
    <row r="9" spans="1:11" ht="18" x14ac:dyDescent="0.3">
      <c r="A9" s="2" t="s">
        <v>14</v>
      </c>
      <c r="B9" s="2">
        <v>23</v>
      </c>
      <c r="C9" s="2" t="s">
        <v>7</v>
      </c>
      <c r="D9" s="2" t="s">
        <v>8</v>
      </c>
      <c r="E9" s="2"/>
      <c r="F9" s="2" t="str">
        <f t="shared" si="0"/>
        <v>rejected</v>
      </c>
    </row>
    <row r="10" spans="1:11" ht="18" x14ac:dyDescent="0.3">
      <c r="A10" s="2" t="s">
        <v>15</v>
      </c>
      <c r="B10" s="2">
        <v>25</v>
      </c>
      <c r="C10" s="2" t="s">
        <v>7</v>
      </c>
      <c r="D10" s="2" t="s">
        <v>11</v>
      </c>
      <c r="E10" s="2"/>
      <c r="F10" s="2" t="str">
        <f t="shared" si="0"/>
        <v>Accepted</v>
      </c>
    </row>
    <row r="11" spans="1:11" ht="18" x14ac:dyDescent="0.3">
      <c r="A11" s="2" t="s">
        <v>16</v>
      </c>
      <c r="B11" s="2">
        <v>36</v>
      </c>
      <c r="C11" s="2" t="s">
        <v>7</v>
      </c>
      <c r="D11" s="2" t="s">
        <v>8</v>
      </c>
      <c r="E11" s="2"/>
      <c r="F11" s="2" t="str">
        <f t="shared" si="0"/>
        <v>Accepted</v>
      </c>
    </row>
    <row r="12" spans="1:11" ht="18" x14ac:dyDescent="0.3">
      <c r="A12" s="2" t="s">
        <v>17</v>
      </c>
      <c r="B12" s="2">
        <v>22</v>
      </c>
      <c r="C12" s="2" t="s">
        <v>7</v>
      </c>
      <c r="D12" s="2" t="s">
        <v>11</v>
      </c>
      <c r="E12" s="2"/>
      <c r="F12" s="2" t="str">
        <f t="shared" si="0"/>
        <v>rejected</v>
      </c>
    </row>
  </sheetData>
  <mergeCells count="2">
    <mergeCell ref="A1:K3"/>
    <mergeCell ref="I5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AD90-8450-46FD-BF1A-15B39F110B88}">
  <dimension ref="A1:H13"/>
  <sheetViews>
    <sheetView tabSelected="1" workbookViewId="0">
      <selection activeCell="D13" sqref="D13"/>
    </sheetView>
  </sheetViews>
  <sheetFormatPr defaultRowHeight="14.4" x14ac:dyDescent="0.3"/>
  <cols>
    <col min="1" max="1" width="10.109375" bestFit="1" customWidth="1"/>
    <col min="2" max="2" width="19.6640625" bestFit="1" customWidth="1"/>
    <col min="3" max="3" width="17.33203125" customWidth="1"/>
    <col min="4" max="4" width="15.33203125" customWidth="1"/>
    <col min="5" max="5" width="16.109375" customWidth="1"/>
  </cols>
  <sheetData>
    <row r="1" spans="1:8" ht="33.6" x14ac:dyDescent="0.3">
      <c r="A1" s="35"/>
      <c r="B1" s="36"/>
      <c r="C1" s="37"/>
      <c r="D1" s="3" t="s">
        <v>18</v>
      </c>
      <c r="E1" s="3" t="s">
        <v>19</v>
      </c>
      <c r="F1" s="35"/>
      <c r="G1" s="36"/>
      <c r="H1" s="37"/>
    </row>
    <row r="2" spans="1:8" ht="23.4" x14ac:dyDescent="0.3">
      <c r="A2" s="4" t="s">
        <v>20</v>
      </c>
      <c r="B2" s="4" t="s">
        <v>21</v>
      </c>
      <c r="C2" s="4" t="s">
        <v>22</v>
      </c>
      <c r="D2" s="4" t="s">
        <v>23</v>
      </c>
      <c r="E2" s="4" t="s">
        <v>23</v>
      </c>
      <c r="F2" s="4"/>
      <c r="G2" s="4" t="s">
        <v>24</v>
      </c>
      <c r="H2" s="4" t="s">
        <v>23</v>
      </c>
    </row>
    <row r="3" spans="1:8" x14ac:dyDescent="0.3">
      <c r="A3" s="5">
        <v>1</v>
      </c>
      <c r="B3" s="5" t="s">
        <v>25</v>
      </c>
      <c r="C3" s="5">
        <v>38</v>
      </c>
      <c r="D3" s="5" t="str">
        <f>IF(C3&gt;=90,"A++",IF(C3&gt;=75,"A+",IF(C3&gt;=60,"A",IF(C3&gt;=45,"B",IF(C3&gt;=35,"C","FAIL")))))</f>
        <v>C</v>
      </c>
      <c r="E3" s="5" t="str" cm="1">
        <f t="array" ref="E3">_xlfn.IFS(C3&gt;=90,"A++",C3&gt;=75,"A+",C3&gt;=60,"A",C3&gt;=45,"B",C3&gt;=35,"C",C3&gt;=0,"FAIL")</f>
        <v>C</v>
      </c>
      <c r="F3" s="5"/>
      <c r="G3" s="11">
        <v>90</v>
      </c>
      <c r="H3" s="11" t="s">
        <v>26</v>
      </c>
    </row>
    <row r="4" spans="1:8" x14ac:dyDescent="0.3">
      <c r="A4" s="5">
        <v>2</v>
      </c>
      <c r="B4" s="5" t="s">
        <v>27</v>
      </c>
      <c r="C4" s="5">
        <v>65</v>
      </c>
      <c r="D4" s="5" t="str">
        <f t="shared" ref="D4:D13" si="0">IF(C4&gt;=90,"A++",IF(C4&gt;=75,"A+",IF(C4&gt;=60,"A",IF(C4&gt;=45,"B",IF(C4&gt;=35,"C","FAIL")))))</f>
        <v>A</v>
      </c>
      <c r="E4" s="5" t="str" cm="1">
        <f t="array" ref="E4">_xlfn.IFS(C4&gt;=90,"A++",C4&gt;=75,"A+",C4&gt;=60,"A",C4&gt;=45,"B",C4&gt;=35,"C",C4&gt;=0,"FAIL")</f>
        <v>A</v>
      </c>
      <c r="F4" s="5"/>
      <c r="G4" s="11">
        <v>75</v>
      </c>
      <c r="H4" s="11" t="s">
        <v>28</v>
      </c>
    </row>
    <row r="5" spans="1:8" x14ac:dyDescent="0.3">
      <c r="A5" s="5">
        <v>3</v>
      </c>
      <c r="B5" s="5" t="s">
        <v>29</v>
      </c>
      <c r="C5" s="5">
        <v>76</v>
      </c>
      <c r="D5" s="5" t="str">
        <f t="shared" si="0"/>
        <v>A+</v>
      </c>
      <c r="E5" s="5" t="str" cm="1">
        <f t="array" ref="E5">_xlfn.IFS(C5&gt;=90,"A++",C5&gt;=75,"A+",C5&gt;=60,"A",C5&gt;=45,"B",C5&gt;=35,"C",C5&gt;=0,"FAIL")</f>
        <v>A+</v>
      </c>
      <c r="F5" s="5"/>
      <c r="G5" s="11">
        <v>60</v>
      </c>
      <c r="H5" s="12" t="s">
        <v>30</v>
      </c>
    </row>
    <row r="6" spans="1:8" x14ac:dyDescent="0.3">
      <c r="A6" s="5">
        <v>4</v>
      </c>
      <c r="B6" s="5" t="s">
        <v>31</v>
      </c>
      <c r="C6" s="5">
        <v>48</v>
      </c>
      <c r="D6" s="5" t="str">
        <f t="shared" si="0"/>
        <v>B</v>
      </c>
      <c r="E6" s="5" t="str" cm="1">
        <f t="array" ref="E6">_xlfn.IFS(C6&gt;=90,"A++",C6&gt;=75,"A+",C6&gt;=60,"A",C6&gt;=45,"B",C6&gt;=35,"C",C6&gt;=0,"FAIL")</f>
        <v>B</v>
      </c>
      <c r="F6" s="5"/>
      <c r="G6" s="11">
        <v>45</v>
      </c>
      <c r="H6" s="11" t="s">
        <v>32</v>
      </c>
    </row>
    <row r="7" spans="1:8" x14ac:dyDescent="0.3">
      <c r="A7" s="5">
        <v>5</v>
      </c>
      <c r="B7" s="5" t="s">
        <v>33</v>
      </c>
      <c r="C7" s="5">
        <v>90</v>
      </c>
      <c r="D7" s="5" t="str">
        <f t="shared" si="0"/>
        <v>A++</v>
      </c>
      <c r="E7" s="5" t="str" cm="1">
        <f t="array" ref="E7">_xlfn.IFS(C7&gt;=90,"A++",C7&gt;=75,"A+",C7&gt;=60,"A",C7&gt;=45,"B",C7&gt;=35,"C",C7&gt;=0,"FAIL")</f>
        <v>A++</v>
      </c>
      <c r="F7" s="5"/>
      <c r="G7" s="11">
        <v>35</v>
      </c>
      <c r="H7" s="11" t="s">
        <v>34</v>
      </c>
    </row>
    <row r="8" spans="1:8" x14ac:dyDescent="0.3">
      <c r="A8" s="5">
        <v>6</v>
      </c>
      <c r="B8" s="5" t="s">
        <v>35</v>
      </c>
      <c r="C8" s="5">
        <v>30</v>
      </c>
      <c r="D8" s="5" t="str">
        <f t="shared" si="0"/>
        <v>FAIL</v>
      </c>
      <c r="E8" s="5" t="str" cm="1">
        <f t="array" ref="E8">_xlfn.IFS(C8&gt;=90,"A++",C8&gt;=75,"A+",C8&gt;=60,"A",C8&gt;=45,"B",C8&gt;=35,"C",C8&gt;=0,"FAIL")</f>
        <v>FAIL</v>
      </c>
      <c r="F8" s="5"/>
      <c r="G8" s="11">
        <v>0</v>
      </c>
      <c r="H8" s="11" t="s">
        <v>36</v>
      </c>
    </row>
    <row r="9" spans="1:8" x14ac:dyDescent="0.3">
      <c r="A9" s="5">
        <v>7</v>
      </c>
      <c r="B9" s="5" t="s">
        <v>37</v>
      </c>
      <c r="C9" s="5">
        <v>85</v>
      </c>
      <c r="D9" s="5" t="str">
        <f t="shared" si="0"/>
        <v>A+</v>
      </c>
      <c r="E9" s="5" t="str" cm="1">
        <f t="array" ref="E9">_xlfn.IFS(C9&gt;=90,"A++",C9&gt;=75,"A+",C9&gt;=60,"A",C9&gt;=45,"B",C9&gt;=35,"C",C9&gt;=0,"FAIL")</f>
        <v>A+</v>
      </c>
      <c r="F9" s="5"/>
      <c r="G9" s="5"/>
      <c r="H9" s="5"/>
    </row>
    <row r="10" spans="1:8" x14ac:dyDescent="0.3">
      <c r="A10" s="5">
        <v>8</v>
      </c>
      <c r="B10" s="5" t="s">
        <v>38</v>
      </c>
      <c r="C10" s="5">
        <v>35</v>
      </c>
      <c r="D10" s="5" t="str">
        <f t="shared" si="0"/>
        <v>C</v>
      </c>
      <c r="E10" s="5" t="str" cm="1">
        <f t="array" ref="E10">_xlfn.IFS(C10&gt;=90,"A++",C10&gt;=75,"A+",C10&gt;=60,"A",C10&gt;=45,"B",C10&gt;=35,"C",C10&gt;=0,"FAIL")</f>
        <v>C</v>
      </c>
      <c r="F10" s="5"/>
      <c r="G10" s="5"/>
      <c r="H10" s="5"/>
    </row>
    <row r="11" spans="1:8" x14ac:dyDescent="0.3">
      <c r="A11" s="5">
        <v>9</v>
      </c>
      <c r="B11" s="5" t="s">
        <v>39</v>
      </c>
      <c r="C11" s="5">
        <v>67</v>
      </c>
      <c r="D11" s="5" t="str">
        <f t="shared" si="0"/>
        <v>A</v>
      </c>
      <c r="E11" s="5" t="str" cm="1">
        <f t="array" ref="E11">_xlfn.IFS(C11&gt;=90,"A++",C11&gt;=75,"A+",C11&gt;=60,"A",C11&gt;=45,"B",C11&gt;=35,"C",C11&gt;=0,"FAIL")</f>
        <v>A</v>
      </c>
      <c r="F11" s="5"/>
      <c r="G11" s="5"/>
      <c r="H11" s="5"/>
    </row>
    <row r="12" spans="1:8" x14ac:dyDescent="0.3">
      <c r="A12" s="5">
        <v>10</v>
      </c>
      <c r="B12" s="5" t="s">
        <v>40</v>
      </c>
      <c r="C12" s="5">
        <v>67</v>
      </c>
      <c r="D12" s="5" t="str">
        <f t="shared" si="0"/>
        <v>A</v>
      </c>
      <c r="E12" s="5" t="str" cm="1">
        <f t="array" ref="E12">_xlfn.IFS(C12&gt;=90,"A++",C12&gt;=75,"A+",C12&gt;=60,"A",C12&gt;=45,"B",C12&gt;=35,"C",C12&gt;=0,"FAIL")</f>
        <v>A</v>
      </c>
      <c r="F12" s="5"/>
      <c r="G12" s="5"/>
      <c r="H12" s="5"/>
    </row>
    <row r="13" spans="1:8" x14ac:dyDescent="0.3">
      <c r="A13" s="41">
        <v>11</v>
      </c>
      <c r="B13" s="41" t="s">
        <v>132</v>
      </c>
      <c r="C13" s="41">
        <v>78</v>
      </c>
      <c r="D13" s="41"/>
      <c r="E13" s="41"/>
    </row>
  </sheetData>
  <mergeCells count="2">
    <mergeCell ref="A1:C1"/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E92D-C013-45AD-B546-C4DB3A9525BD}">
  <sheetPr>
    <tabColor rgb="FFFF0000"/>
  </sheetPr>
  <dimension ref="A1:D10"/>
  <sheetViews>
    <sheetView workbookViewId="0">
      <selection activeCell="G20" sqref="G20"/>
    </sheetView>
  </sheetViews>
  <sheetFormatPr defaultRowHeight="14.4" x14ac:dyDescent="0.3"/>
  <cols>
    <col min="2" max="2" width="15.21875" customWidth="1"/>
    <col min="3" max="3" width="15.77734375" customWidth="1"/>
    <col min="4" max="4" width="18.5546875" customWidth="1"/>
  </cols>
  <sheetData>
    <row r="1" spans="1:4" ht="21" x14ac:dyDescent="0.3">
      <c r="A1" s="6">
        <v>1</v>
      </c>
      <c r="B1" s="38" t="s">
        <v>41</v>
      </c>
      <c r="C1" s="38"/>
      <c r="D1" s="38"/>
    </row>
    <row r="3" spans="1:4" ht="21" x14ac:dyDescent="0.3">
      <c r="B3" s="7" t="s">
        <v>1</v>
      </c>
      <c r="C3" s="7" t="s">
        <v>42</v>
      </c>
      <c r="D3" s="7" t="s">
        <v>43</v>
      </c>
    </row>
    <row r="4" spans="1:4" x14ac:dyDescent="0.3">
      <c r="B4" s="8" t="s">
        <v>44</v>
      </c>
      <c r="C4" s="8">
        <v>78</v>
      </c>
      <c r="D4" s="8" t="str">
        <f>IF(C4&gt;=50,"Good","Bad")</f>
        <v>Good</v>
      </c>
    </row>
    <row r="5" spans="1:4" x14ac:dyDescent="0.3">
      <c r="B5" s="8" t="s">
        <v>45</v>
      </c>
      <c r="C5" s="8">
        <v>29</v>
      </c>
      <c r="D5" s="8" t="str">
        <f t="shared" ref="D5:D10" si="0">IF(C5&gt;=50,"Good","Bad")</f>
        <v>Bad</v>
      </c>
    </row>
    <row r="6" spans="1:4" x14ac:dyDescent="0.3">
      <c r="B6" s="8" t="s">
        <v>46</v>
      </c>
      <c r="C6" s="8">
        <v>87</v>
      </c>
      <c r="D6" s="8" t="str">
        <f t="shared" si="0"/>
        <v>Good</v>
      </c>
    </row>
    <row r="7" spans="1:4" x14ac:dyDescent="0.3">
      <c r="B7" s="8" t="s">
        <v>47</v>
      </c>
      <c r="C7" s="8">
        <v>66</v>
      </c>
      <c r="D7" s="8" t="str">
        <f t="shared" si="0"/>
        <v>Good</v>
      </c>
    </row>
    <row r="8" spans="1:4" x14ac:dyDescent="0.3">
      <c r="B8" s="8" t="s">
        <v>48</v>
      </c>
      <c r="C8" s="8">
        <v>55</v>
      </c>
      <c r="D8" s="8" t="str">
        <f t="shared" si="0"/>
        <v>Good</v>
      </c>
    </row>
    <row r="9" spans="1:4" x14ac:dyDescent="0.3">
      <c r="B9" s="8" t="s">
        <v>49</v>
      </c>
      <c r="C9" s="8">
        <v>23</v>
      </c>
      <c r="D9" s="8" t="str">
        <f t="shared" si="0"/>
        <v>Bad</v>
      </c>
    </row>
    <row r="10" spans="1:4" x14ac:dyDescent="0.3">
      <c r="B10" s="8" t="s">
        <v>50</v>
      </c>
      <c r="C10" s="8">
        <v>78</v>
      </c>
      <c r="D10" s="8" t="str">
        <f t="shared" si="0"/>
        <v>Good</v>
      </c>
    </row>
  </sheetData>
  <mergeCells count="1">
    <mergeCell ref="B1:D1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5AFB-6F71-4D02-B2B2-C81AE338C394}">
  <sheetPr>
    <tabColor rgb="FFFF0000"/>
  </sheetPr>
  <dimension ref="A1:E10"/>
  <sheetViews>
    <sheetView workbookViewId="0">
      <selection activeCell="C26" sqref="C26"/>
    </sheetView>
  </sheetViews>
  <sheetFormatPr defaultRowHeight="14.4" x14ac:dyDescent="0.3"/>
  <cols>
    <col min="2" max="2" width="15.21875" customWidth="1"/>
    <col min="3" max="3" width="15.77734375" customWidth="1"/>
    <col min="4" max="4" width="18.5546875" customWidth="1"/>
  </cols>
  <sheetData>
    <row r="1" spans="1:5" ht="21" x14ac:dyDescent="0.3">
      <c r="A1" s="6">
        <v>2</v>
      </c>
      <c r="B1" s="38" t="s">
        <v>51</v>
      </c>
      <c r="C1" s="38"/>
      <c r="D1" s="38"/>
    </row>
    <row r="3" spans="1:5" ht="21" x14ac:dyDescent="0.3">
      <c r="B3" s="7" t="s">
        <v>1</v>
      </c>
      <c r="C3" s="7" t="s">
        <v>42</v>
      </c>
      <c r="D3" s="7" t="s">
        <v>43</v>
      </c>
    </row>
    <row r="4" spans="1:5" x14ac:dyDescent="0.3">
      <c r="B4" s="8" t="s">
        <v>44</v>
      </c>
      <c r="C4" s="8">
        <v>78</v>
      </c>
      <c r="D4" s="8" t="str">
        <f>IF(C4&gt;=50,"✔","✖")</f>
        <v>✔</v>
      </c>
      <c r="E4" t="str">
        <f>IF(C4&gt;=50,"✅","❎")</f>
        <v>✅</v>
      </c>
    </row>
    <row r="5" spans="1:5" x14ac:dyDescent="0.3">
      <c r="B5" s="8" t="s">
        <v>45</v>
      </c>
      <c r="C5" s="8">
        <v>29</v>
      </c>
      <c r="D5" s="8" t="str">
        <f t="shared" ref="D5:D10" si="0">IF(C5&gt;=50,"✔","✖")</f>
        <v>✖</v>
      </c>
      <c r="E5" t="str">
        <f t="shared" ref="E5:E10" si="1">IF(C5&gt;=50,"✅","❎")</f>
        <v>❎</v>
      </c>
    </row>
    <row r="6" spans="1:5" x14ac:dyDescent="0.3">
      <c r="B6" s="8" t="s">
        <v>46</v>
      </c>
      <c r="C6" s="8">
        <v>87</v>
      </c>
      <c r="D6" s="8" t="str">
        <f t="shared" si="0"/>
        <v>✔</v>
      </c>
      <c r="E6" t="str">
        <f t="shared" si="1"/>
        <v>✅</v>
      </c>
    </row>
    <row r="7" spans="1:5" x14ac:dyDescent="0.3">
      <c r="B7" s="8" t="s">
        <v>47</v>
      </c>
      <c r="C7" s="8">
        <v>66</v>
      </c>
      <c r="D7" s="8" t="str">
        <f t="shared" si="0"/>
        <v>✔</v>
      </c>
      <c r="E7" t="str">
        <f t="shared" si="1"/>
        <v>✅</v>
      </c>
    </row>
    <row r="8" spans="1:5" x14ac:dyDescent="0.3">
      <c r="B8" s="8" t="s">
        <v>48</v>
      </c>
      <c r="C8" s="8">
        <v>55</v>
      </c>
      <c r="D8" s="8" t="str">
        <f t="shared" si="0"/>
        <v>✔</v>
      </c>
      <c r="E8" t="str">
        <f t="shared" si="1"/>
        <v>✅</v>
      </c>
    </row>
    <row r="9" spans="1:5" x14ac:dyDescent="0.3">
      <c r="B9" s="8" t="s">
        <v>49</v>
      </c>
      <c r="C9" s="8">
        <v>23</v>
      </c>
      <c r="D9" s="8" t="str">
        <f t="shared" si="0"/>
        <v>✖</v>
      </c>
      <c r="E9" t="str">
        <f t="shared" si="1"/>
        <v>❎</v>
      </c>
    </row>
    <row r="10" spans="1:5" x14ac:dyDescent="0.3">
      <c r="B10" s="8" t="s">
        <v>50</v>
      </c>
      <c r="C10" s="8">
        <v>78</v>
      </c>
      <c r="D10" s="8" t="str">
        <f t="shared" si="0"/>
        <v>✔</v>
      </c>
      <c r="E10" t="str">
        <f t="shared" si="1"/>
        <v>✅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9BF0-DF44-4A80-812E-C68FBA61AE8D}">
  <sheetPr>
    <tabColor rgb="FFFF0000"/>
  </sheetPr>
  <dimension ref="A1:D10"/>
  <sheetViews>
    <sheetView workbookViewId="0">
      <selection activeCell="C24" sqref="C24"/>
    </sheetView>
  </sheetViews>
  <sheetFormatPr defaultRowHeight="14.4" x14ac:dyDescent="0.3"/>
  <cols>
    <col min="2" max="2" width="15.21875" customWidth="1"/>
    <col min="3" max="3" width="15.77734375" customWidth="1"/>
    <col min="4" max="4" width="32.109375" customWidth="1"/>
  </cols>
  <sheetData>
    <row r="1" spans="1:4" ht="21" x14ac:dyDescent="0.3">
      <c r="A1" s="6">
        <v>3</v>
      </c>
      <c r="B1" s="39" t="s">
        <v>53</v>
      </c>
      <c r="C1" s="39"/>
      <c r="D1" s="39"/>
    </row>
    <row r="2" spans="1:4" x14ac:dyDescent="0.3">
      <c r="D2" t="s">
        <v>54</v>
      </c>
    </row>
    <row r="3" spans="1:4" ht="21" x14ac:dyDescent="0.3">
      <c r="B3" s="7" t="s">
        <v>1</v>
      </c>
      <c r="C3" s="7" t="s">
        <v>42</v>
      </c>
      <c r="D3" s="7" t="s">
        <v>52</v>
      </c>
    </row>
    <row r="4" spans="1:4" x14ac:dyDescent="0.3">
      <c r="B4" s="8" t="s">
        <v>44</v>
      </c>
      <c r="C4" s="8">
        <v>78</v>
      </c>
      <c r="D4" s="8" t="str">
        <f>IF(C4&lt;40,B4&amp;"("&amp;C4&amp;")","")</f>
        <v/>
      </c>
    </row>
    <row r="5" spans="1:4" x14ac:dyDescent="0.3">
      <c r="B5" s="8" t="s">
        <v>45</v>
      </c>
      <c r="C5" s="8">
        <v>29</v>
      </c>
      <c r="D5" s="8" t="str">
        <f t="shared" ref="D5:D10" si="0">IF(C5&lt;40,B5&amp;"("&amp;C5&amp;")","")</f>
        <v>Name 2(29)</v>
      </c>
    </row>
    <row r="6" spans="1:4" x14ac:dyDescent="0.3">
      <c r="B6" s="8" t="s">
        <v>46</v>
      </c>
      <c r="C6" s="8">
        <v>87</v>
      </c>
      <c r="D6" s="8" t="str">
        <f t="shared" si="0"/>
        <v/>
      </c>
    </row>
    <row r="7" spans="1:4" x14ac:dyDescent="0.3">
      <c r="B7" s="8" t="s">
        <v>47</v>
      </c>
      <c r="C7" s="8">
        <v>66</v>
      </c>
      <c r="D7" s="8" t="str">
        <f t="shared" si="0"/>
        <v/>
      </c>
    </row>
    <row r="8" spans="1:4" x14ac:dyDescent="0.3">
      <c r="B8" s="8" t="s">
        <v>48</v>
      </c>
      <c r="C8" s="8">
        <v>55</v>
      </c>
      <c r="D8" s="8" t="str">
        <f t="shared" si="0"/>
        <v/>
      </c>
    </row>
    <row r="9" spans="1:4" x14ac:dyDescent="0.3">
      <c r="B9" s="8" t="s">
        <v>49</v>
      </c>
      <c r="C9" s="8">
        <v>23</v>
      </c>
      <c r="D9" s="8" t="str">
        <f t="shared" si="0"/>
        <v>Name 6(23)</v>
      </c>
    </row>
    <row r="10" spans="1:4" x14ac:dyDescent="0.3">
      <c r="B10" s="8" t="s">
        <v>50</v>
      </c>
      <c r="C10" s="8">
        <v>78</v>
      </c>
      <c r="D10" s="8" t="str">
        <f t="shared" si="0"/>
        <v/>
      </c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A5B2-F4D6-43A4-8F8A-32AD17EDFF72}">
  <sheetPr>
    <tabColor rgb="FFFF0000"/>
  </sheetPr>
  <dimension ref="A1:D10"/>
  <sheetViews>
    <sheetView workbookViewId="0">
      <selection activeCell="B14" sqref="B14"/>
    </sheetView>
  </sheetViews>
  <sheetFormatPr defaultRowHeight="14.4" x14ac:dyDescent="0.3"/>
  <cols>
    <col min="1" max="1" width="14.5546875" customWidth="1"/>
    <col min="2" max="2" width="15.21875" customWidth="1"/>
    <col min="3" max="3" width="15.77734375" customWidth="1"/>
    <col min="4" max="4" width="32.109375" customWidth="1"/>
  </cols>
  <sheetData>
    <row r="1" spans="1:4" ht="21" x14ac:dyDescent="0.3">
      <c r="A1" s="6">
        <v>4</v>
      </c>
      <c r="B1" s="39" t="s">
        <v>55</v>
      </c>
      <c r="C1" s="39"/>
      <c r="D1" s="39"/>
    </row>
    <row r="2" spans="1:4" x14ac:dyDescent="0.3">
      <c r="D2" t="s">
        <v>54</v>
      </c>
    </row>
    <row r="3" spans="1:4" ht="21" x14ac:dyDescent="0.3">
      <c r="B3" s="7" t="s">
        <v>1</v>
      </c>
      <c r="C3" s="7" t="s">
        <v>3</v>
      </c>
    </row>
    <row r="4" spans="1:4" x14ac:dyDescent="0.3">
      <c r="A4" t="s">
        <v>64</v>
      </c>
      <c r="B4" s="8" t="s">
        <v>56</v>
      </c>
      <c r="C4" s="8" t="s">
        <v>7</v>
      </c>
      <c r="D4" t="str">
        <f>IF(C4="Male","Mr"&amp;B4,"Miss"&amp;B4)</f>
        <v>MrAnil Kumar</v>
      </c>
    </row>
    <row r="5" spans="1:4" x14ac:dyDescent="0.3">
      <c r="A5" t="s">
        <v>65</v>
      </c>
      <c r="B5" s="8" t="s">
        <v>57</v>
      </c>
      <c r="C5" s="8" t="s">
        <v>63</v>
      </c>
      <c r="D5" t="str">
        <f t="shared" ref="D5:D10" si="0">IF(C5="Male","Mr"&amp;B5,"Miss"&amp;B5)</f>
        <v>MissReetu</v>
      </c>
    </row>
    <row r="6" spans="1:4" x14ac:dyDescent="0.3">
      <c r="A6" t="s">
        <v>66</v>
      </c>
      <c r="B6" s="8" t="s">
        <v>58</v>
      </c>
      <c r="C6" s="8" t="s">
        <v>7</v>
      </c>
      <c r="D6" t="str">
        <f t="shared" si="0"/>
        <v>MrRohit</v>
      </c>
    </row>
    <row r="7" spans="1:4" x14ac:dyDescent="0.3">
      <c r="A7" t="s">
        <v>67</v>
      </c>
      <c r="B7" s="8" t="s">
        <v>59</v>
      </c>
      <c r="C7" s="8" t="s">
        <v>63</v>
      </c>
      <c r="D7" t="str">
        <f t="shared" si="0"/>
        <v>MissTeena</v>
      </c>
    </row>
    <row r="8" spans="1:4" x14ac:dyDescent="0.3">
      <c r="A8" t="s">
        <v>68</v>
      </c>
      <c r="B8" s="8" t="s">
        <v>60</v>
      </c>
      <c r="C8" s="8" t="s">
        <v>7</v>
      </c>
      <c r="D8" t="str">
        <f t="shared" si="0"/>
        <v>MrSonu</v>
      </c>
    </row>
    <row r="9" spans="1:4" x14ac:dyDescent="0.3">
      <c r="A9" t="s">
        <v>69</v>
      </c>
      <c r="B9" s="8" t="s">
        <v>61</v>
      </c>
      <c r="C9" s="8" t="s">
        <v>7</v>
      </c>
      <c r="D9" t="str">
        <f t="shared" si="0"/>
        <v>MrRaj</v>
      </c>
    </row>
    <row r="10" spans="1:4" x14ac:dyDescent="0.3">
      <c r="A10" t="s">
        <v>70</v>
      </c>
      <c r="B10" s="8" t="s">
        <v>62</v>
      </c>
      <c r="C10" s="8" t="s">
        <v>63</v>
      </c>
      <c r="D10" t="str">
        <f t="shared" si="0"/>
        <v>MissNeha</v>
      </c>
    </row>
  </sheetData>
  <mergeCells count="1">
    <mergeCell ref="B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9F66-973D-41F8-AFBF-462C944DC8A7}">
  <sheetPr>
    <tabColor rgb="FFFF0000"/>
  </sheetPr>
  <dimension ref="A1:D7"/>
  <sheetViews>
    <sheetView workbookViewId="0">
      <selection activeCell="C24" sqref="C24"/>
    </sheetView>
  </sheetViews>
  <sheetFormatPr defaultRowHeight="14.4" x14ac:dyDescent="0.3"/>
  <cols>
    <col min="1" max="1" width="14.5546875" customWidth="1"/>
    <col min="2" max="2" width="15.21875" customWidth="1"/>
    <col min="3" max="3" width="29.44140625" customWidth="1"/>
    <col min="4" max="4" width="26.33203125" customWidth="1"/>
  </cols>
  <sheetData>
    <row r="1" spans="1:4" ht="21" x14ac:dyDescent="0.3">
      <c r="A1" s="6">
        <v>5</v>
      </c>
      <c r="B1" s="39" t="s">
        <v>71</v>
      </c>
      <c r="C1" s="39"/>
      <c r="D1" s="39"/>
    </row>
    <row r="2" spans="1:4" x14ac:dyDescent="0.3">
      <c r="D2" t="s">
        <v>54</v>
      </c>
    </row>
    <row r="3" spans="1:4" ht="21" x14ac:dyDescent="0.3">
      <c r="B3" s="7" t="s">
        <v>72</v>
      </c>
      <c r="C3" s="7" t="s">
        <v>73</v>
      </c>
      <c r="D3" s="7" t="s">
        <v>74</v>
      </c>
    </row>
    <row r="4" spans="1:4" x14ac:dyDescent="0.3">
      <c r="B4" s="8">
        <v>123123</v>
      </c>
      <c r="C4" s="8">
        <v>123123</v>
      </c>
      <c r="D4" s="8" t="str">
        <f>IF(B4=C4,"yes","no")</f>
        <v>yes</v>
      </c>
    </row>
    <row r="5" spans="1:4" x14ac:dyDescent="0.3">
      <c r="B5" s="8" t="s">
        <v>75</v>
      </c>
      <c r="C5" s="8" t="s">
        <v>75</v>
      </c>
      <c r="D5" s="8" t="str">
        <f t="shared" ref="D5:D7" si="0">IF(B5=C5,"yes","no")</f>
        <v>yes</v>
      </c>
    </row>
    <row r="6" spans="1:4" x14ac:dyDescent="0.3">
      <c r="B6" s="8" t="s">
        <v>76</v>
      </c>
      <c r="C6" s="8" t="s">
        <v>76</v>
      </c>
      <c r="D6" s="8" t="str">
        <f t="shared" si="0"/>
        <v>yes</v>
      </c>
    </row>
    <row r="7" spans="1:4" x14ac:dyDescent="0.3">
      <c r="B7" s="9" t="s">
        <v>78</v>
      </c>
      <c r="C7" s="8" t="s">
        <v>77</v>
      </c>
      <c r="D7" s="8" t="str">
        <f t="shared" si="0"/>
        <v>no</v>
      </c>
    </row>
  </sheetData>
  <mergeCells count="1">
    <mergeCell ref="B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95CC-BC0F-4EBA-9E45-AF0E364D312E}">
  <sheetPr>
    <tabColor rgb="FFFF0000"/>
  </sheetPr>
  <dimension ref="A1:E9"/>
  <sheetViews>
    <sheetView workbookViewId="0">
      <selection activeCell="F23" sqref="F23"/>
    </sheetView>
  </sheetViews>
  <sheetFormatPr defaultRowHeight="14.4" x14ac:dyDescent="0.3"/>
  <cols>
    <col min="1" max="1" width="14.5546875" customWidth="1"/>
    <col min="2" max="2" width="15.21875" customWidth="1"/>
    <col min="3" max="3" width="29.44140625" customWidth="1"/>
    <col min="4" max="4" width="19.21875" customWidth="1"/>
    <col min="5" max="5" width="17.77734375" customWidth="1"/>
  </cols>
  <sheetData>
    <row r="1" spans="1:5" ht="21" x14ac:dyDescent="0.3">
      <c r="A1" s="6">
        <v>6</v>
      </c>
      <c r="B1" s="39" t="s">
        <v>79</v>
      </c>
      <c r="C1" s="39"/>
      <c r="D1" s="39"/>
    </row>
    <row r="2" spans="1:5" x14ac:dyDescent="0.3">
      <c r="D2" t="s">
        <v>54</v>
      </c>
    </row>
    <row r="3" spans="1:5" ht="21" x14ac:dyDescent="0.3">
      <c r="B3" s="7" t="s">
        <v>80</v>
      </c>
      <c r="C3" s="7" t="s">
        <v>81</v>
      </c>
      <c r="D3" s="7" t="s">
        <v>82</v>
      </c>
      <c r="E3" s="7" t="s">
        <v>83</v>
      </c>
    </row>
    <row r="4" spans="1:5" x14ac:dyDescent="0.3">
      <c r="B4" s="8" t="s">
        <v>84</v>
      </c>
      <c r="C4" s="8" t="s">
        <v>90</v>
      </c>
      <c r="D4" s="8">
        <v>19000</v>
      </c>
      <c r="E4" s="8">
        <f>IF(C4="Computer",D4+D4*5%,D4)</f>
        <v>19950</v>
      </c>
    </row>
    <row r="5" spans="1:5" x14ac:dyDescent="0.3">
      <c r="B5" s="8" t="s">
        <v>85</v>
      </c>
      <c r="C5" s="8" t="s">
        <v>91</v>
      </c>
      <c r="D5" s="8">
        <v>40000</v>
      </c>
      <c r="E5" s="8">
        <f t="shared" ref="E5:E9" si="0">IF(C5="Computer",D5+D5*5%,D5)</f>
        <v>40000</v>
      </c>
    </row>
    <row r="6" spans="1:5" x14ac:dyDescent="0.3">
      <c r="B6" s="8" t="s">
        <v>86</v>
      </c>
      <c r="C6" s="8" t="s">
        <v>92</v>
      </c>
      <c r="D6" s="8">
        <v>7000</v>
      </c>
      <c r="E6" s="8">
        <f t="shared" si="0"/>
        <v>7000</v>
      </c>
    </row>
    <row r="7" spans="1:5" x14ac:dyDescent="0.3">
      <c r="B7" s="8" t="s">
        <v>87</v>
      </c>
      <c r="C7" s="8" t="s">
        <v>90</v>
      </c>
      <c r="D7" s="8">
        <v>21000</v>
      </c>
      <c r="E7" s="8">
        <f t="shared" si="0"/>
        <v>22050</v>
      </c>
    </row>
    <row r="8" spans="1:5" x14ac:dyDescent="0.3">
      <c r="B8" s="8" t="s">
        <v>88</v>
      </c>
      <c r="C8" s="8" t="s">
        <v>93</v>
      </c>
      <c r="D8" s="8">
        <v>65000</v>
      </c>
      <c r="E8" s="8">
        <f t="shared" si="0"/>
        <v>65000</v>
      </c>
    </row>
    <row r="9" spans="1:5" x14ac:dyDescent="0.3">
      <c r="B9" s="8" t="s">
        <v>89</v>
      </c>
      <c r="C9" s="8" t="s">
        <v>94</v>
      </c>
      <c r="D9" s="8">
        <v>11000</v>
      </c>
      <c r="E9" s="8">
        <f t="shared" si="0"/>
        <v>11000</v>
      </c>
    </row>
  </sheetData>
  <mergeCells count="1">
    <mergeCell ref="B1:D1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4453-A6F1-4C44-A331-6F483C9F58BD}">
  <sheetPr>
    <tabColor rgb="FFFF0000"/>
  </sheetPr>
  <dimension ref="A1:D9"/>
  <sheetViews>
    <sheetView workbookViewId="0">
      <selection activeCell="D24" sqref="D24"/>
    </sheetView>
  </sheetViews>
  <sheetFormatPr defaultRowHeight="14.4" x14ac:dyDescent="0.3"/>
  <cols>
    <col min="1" max="1" width="14.5546875" customWidth="1"/>
    <col min="2" max="2" width="18.77734375" customWidth="1"/>
    <col min="3" max="3" width="22.6640625" customWidth="1"/>
    <col min="4" max="4" width="48" customWidth="1"/>
    <col min="5" max="5" width="17.77734375" customWidth="1"/>
  </cols>
  <sheetData>
    <row r="1" spans="1:4" ht="21" x14ac:dyDescent="0.3">
      <c r="A1" s="6">
        <v>7</v>
      </c>
      <c r="B1" s="39" t="s">
        <v>95</v>
      </c>
      <c r="C1" s="39"/>
      <c r="D1" s="39"/>
    </row>
    <row r="2" spans="1:4" x14ac:dyDescent="0.3">
      <c r="D2" t="s">
        <v>54</v>
      </c>
    </row>
    <row r="3" spans="1:4" ht="21" x14ac:dyDescent="0.3">
      <c r="B3" s="7" t="s">
        <v>96</v>
      </c>
      <c r="C3" s="7" t="s">
        <v>97</v>
      </c>
      <c r="D3" s="7" t="s">
        <v>98</v>
      </c>
    </row>
    <row r="4" spans="1:4" x14ac:dyDescent="0.3">
      <c r="B4" s="8" t="s">
        <v>99</v>
      </c>
      <c r="C4" s="10">
        <v>40000</v>
      </c>
      <c r="D4" s="10">
        <f>IF(B4="Manager",C4+5000,IF(B4="Clark",C4+3000,IF(B4="Accountant",C4+1500,"")))</f>
        <v>45000</v>
      </c>
    </row>
    <row r="5" spans="1:4" x14ac:dyDescent="0.3">
      <c r="B5" s="8" t="s">
        <v>100</v>
      </c>
      <c r="C5" s="10">
        <v>22000</v>
      </c>
      <c r="D5" s="10">
        <f t="shared" ref="D5:D9" si="0">IF(B5="Manager",C5+5000,IF(B5="Clark",C5+3000,IF(B5="Accountant",C5+1500,"")))</f>
        <v>25000</v>
      </c>
    </row>
    <row r="6" spans="1:4" x14ac:dyDescent="0.3">
      <c r="B6" s="8" t="s">
        <v>101</v>
      </c>
      <c r="C6" s="10">
        <v>45000</v>
      </c>
      <c r="D6" s="10">
        <f t="shared" si="0"/>
        <v>46500</v>
      </c>
    </row>
    <row r="7" spans="1:4" x14ac:dyDescent="0.3">
      <c r="B7" s="8" t="s">
        <v>101</v>
      </c>
      <c r="C7" s="10">
        <v>20000</v>
      </c>
      <c r="D7" s="10">
        <f t="shared" si="0"/>
        <v>21500</v>
      </c>
    </row>
    <row r="8" spans="1:4" x14ac:dyDescent="0.3">
      <c r="B8" s="8" t="s">
        <v>99</v>
      </c>
      <c r="C8" s="10">
        <v>35000</v>
      </c>
      <c r="D8" s="10">
        <f t="shared" si="0"/>
        <v>40000</v>
      </c>
    </row>
    <row r="9" spans="1:4" x14ac:dyDescent="0.3">
      <c r="B9" s="8" t="s">
        <v>100</v>
      </c>
      <c r="C9" s="10">
        <v>30000</v>
      </c>
      <c r="D9" s="10">
        <f t="shared" si="0"/>
        <v>33000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60EE-D49E-48D9-A2C7-4E84EA848131}">
  <sheetPr>
    <tabColor rgb="FFFF0000"/>
  </sheetPr>
  <dimension ref="A1:D11"/>
  <sheetViews>
    <sheetView workbookViewId="0">
      <selection activeCell="I16" sqref="I16"/>
    </sheetView>
  </sheetViews>
  <sheetFormatPr defaultRowHeight="14.4" x14ac:dyDescent="0.3"/>
  <cols>
    <col min="1" max="1" width="14.5546875" customWidth="1"/>
    <col min="2" max="2" width="18.77734375" customWidth="1"/>
    <col min="3" max="3" width="22.6640625" customWidth="1"/>
    <col min="4" max="4" width="20" customWidth="1"/>
    <col min="5" max="5" width="17.77734375" customWidth="1"/>
  </cols>
  <sheetData>
    <row r="1" spans="1:4" ht="21" x14ac:dyDescent="0.3">
      <c r="A1" s="6">
        <v>8</v>
      </c>
      <c r="B1" s="39" t="s">
        <v>102</v>
      </c>
      <c r="C1" s="39"/>
      <c r="D1" s="39"/>
    </row>
    <row r="2" spans="1:4" x14ac:dyDescent="0.3">
      <c r="D2" t="s">
        <v>54</v>
      </c>
    </row>
    <row r="3" spans="1:4" ht="21" x14ac:dyDescent="0.3">
      <c r="B3" s="7" t="s">
        <v>81</v>
      </c>
      <c r="C3" s="7" t="s">
        <v>82</v>
      </c>
    </row>
    <row r="4" spans="1:4" x14ac:dyDescent="0.3">
      <c r="B4" s="8" t="s">
        <v>90</v>
      </c>
      <c r="C4" s="10">
        <v>232</v>
      </c>
    </row>
    <row r="5" spans="1:4" x14ac:dyDescent="0.3">
      <c r="B5" s="8" t="s">
        <v>91</v>
      </c>
      <c r="C5" s="10">
        <v>34</v>
      </c>
    </row>
    <row r="6" spans="1:4" x14ac:dyDescent="0.3">
      <c r="B6" s="8" t="s">
        <v>94</v>
      </c>
      <c r="C6" s="10">
        <v>34</v>
      </c>
    </row>
    <row r="7" spans="1:4" x14ac:dyDescent="0.3">
      <c r="B7" s="8" t="s">
        <v>90</v>
      </c>
      <c r="C7" s="10">
        <v>534</v>
      </c>
    </row>
    <row r="8" spans="1:4" x14ac:dyDescent="0.3">
      <c r="B8" s="8" t="s">
        <v>93</v>
      </c>
      <c r="C8" s="10">
        <v>5</v>
      </c>
    </row>
    <row r="9" spans="1:4" x14ac:dyDescent="0.3">
      <c r="B9" s="8" t="s">
        <v>94</v>
      </c>
      <c r="C9" s="10"/>
    </row>
    <row r="11" spans="1:4" ht="21" x14ac:dyDescent="0.3">
      <c r="B11" s="14" t="s">
        <v>103</v>
      </c>
      <c r="C11" s="13">
        <f>IF(SUM(C4:C9)=0,"",SUM(C4:C9))</f>
        <v>839</v>
      </c>
    </row>
  </sheetData>
  <mergeCells count="1">
    <mergeCell ref="B1:D1"/>
  </mergeCells>
  <pageMargins left="0.7" right="0.7" top="0.75" bottom="0.75" header="0.3" footer="0.3"/>
  <ignoredErrors>
    <ignoredError sqref="C11" emptyCellReferenc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52F7-6FBF-47D1-81FB-2A8E99FE41FF}">
  <sheetPr>
    <tabColor rgb="FFFF0000"/>
  </sheetPr>
  <dimension ref="A1:F10"/>
  <sheetViews>
    <sheetView workbookViewId="0">
      <selection activeCell="F22" sqref="F22"/>
    </sheetView>
  </sheetViews>
  <sheetFormatPr defaultRowHeight="14.4" x14ac:dyDescent="0.3"/>
  <cols>
    <col min="1" max="1" width="14.5546875" customWidth="1"/>
    <col min="2" max="2" width="18.77734375" customWidth="1"/>
    <col min="3" max="3" width="12.109375" customWidth="1"/>
    <col min="4" max="4" width="15.5546875" customWidth="1"/>
    <col min="5" max="5" width="15.44140625" customWidth="1"/>
    <col min="6" max="6" width="29.6640625" customWidth="1"/>
  </cols>
  <sheetData>
    <row r="1" spans="1:6" ht="21" x14ac:dyDescent="0.3">
      <c r="A1" s="6">
        <v>9</v>
      </c>
      <c r="B1" s="39"/>
      <c r="C1" s="39"/>
      <c r="D1" s="39"/>
    </row>
    <row r="2" spans="1:6" x14ac:dyDescent="0.3">
      <c r="D2" t="s">
        <v>54</v>
      </c>
    </row>
    <row r="3" spans="1:6" ht="21" x14ac:dyDescent="0.3">
      <c r="B3" s="7" t="s">
        <v>1</v>
      </c>
      <c r="C3" s="7" t="s">
        <v>104</v>
      </c>
      <c r="D3" s="7" t="s">
        <v>105</v>
      </c>
      <c r="E3" s="7" t="s">
        <v>106</v>
      </c>
      <c r="F3" s="7" t="s">
        <v>107</v>
      </c>
    </row>
    <row r="4" spans="1:6" x14ac:dyDescent="0.3">
      <c r="B4" s="8" t="s">
        <v>56</v>
      </c>
      <c r="C4" s="8">
        <v>78</v>
      </c>
      <c r="D4" s="8">
        <v>23</v>
      </c>
      <c r="E4" s="8">
        <v>45</v>
      </c>
      <c r="F4" s="8" t="str">
        <f>IF(AND(C4&gt;=40,D4&gt;=40,E4&gt;=40),"Pass","Fail")</f>
        <v>Fail</v>
      </c>
    </row>
    <row r="5" spans="1:6" x14ac:dyDescent="0.3">
      <c r="B5" s="8" t="s">
        <v>57</v>
      </c>
      <c r="C5" s="8">
        <v>29</v>
      </c>
      <c r="D5" s="8">
        <v>43</v>
      </c>
      <c r="E5" s="8">
        <v>65</v>
      </c>
      <c r="F5" s="8" t="str">
        <f t="shared" ref="F5:F10" si="0">IF(AND(C5&gt;=40,D5&gt;=40,E5&gt;=40),"Pass","Fail")</f>
        <v>Fail</v>
      </c>
    </row>
    <row r="6" spans="1:6" x14ac:dyDescent="0.3">
      <c r="B6" s="8" t="s">
        <v>58</v>
      </c>
      <c r="C6" s="8">
        <v>87</v>
      </c>
      <c r="D6" s="8">
        <v>45</v>
      </c>
      <c r="E6" s="8">
        <v>76</v>
      </c>
      <c r="F6" s="8" t="str">
        <f t="shared" si="0"/>
        <v>Pass</v>
      </c>
    </row>
    <row r="7" spans="1:6" x14ac:dyDescent="0.3">
      <c r="B7" s="8" t="s">
        <v>59</v>
      </c>
      <c r="C7" s="8">
        <v>66</v>
      </c>
      <c r="D7" s="8">
        <v>65</v>
      </c>
      <c r="E7" s="8">
        <v>78</v>
      </c>
      <c r="F7" s="8" t="str">
        <f t="shared" si="0"/>
        <v>Pass</v>
      </c>
    </row>
    <row r="8" spans="1:6" x14ac:dyDescent="0.3">
      <c r="B8" s="8" t="s">
        <v>60</v>
      </c>
      <c r="C8" s="8">
        <v>55</v>
      </c>
      <c r="D8" s="8">
        <v>56</v>
      </c>
      <c r="E8" s="8">
        <v>76</v>
      </c>
      <c r="F8" s="8" t="str">
        <f t="shared" si="0"/>
        <v>Pass</v>
      </c>
    </row>
    <row r="9" spans="1:6" x14ac:dyDescent="0.3">
      <c r="B9" s="8" t="s">
        <v>61</v>
      </c>
      <c r="C9" s="8">
        <v>23</v>
      </c>
      <c r="D9" s="8">
        <v>76</v>
      </c>
      <c r="E9" s="8">
        <v>67</v>
      </c>
      <c r="F9" s="8" t="str">
        <f t="shared" si="0"/>
        <v>Fail</v>
      </c>
    </row>
    <row r="10" spans="1:6" x14ac:dyDescent="0.3">
      <c r="B10" s="8" t="s">
        <v>62</v>
      </c>
      <c r="C10" s="8">
        <v>78</v>
      </c>
      <c r="D10" s="8">
        <v>67</v>
      </c>
      <c r="E10" s="8">
        <v>87</v>
      </c>
      <c r="F10" s="8" t="str">
        <f t="shared" si="0"/>
        <v>Pass</v>
      </c>
    </row>
  </sheetData>
  <mergeCells count="1">
    <mergeCell ref="B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4334-96C0-4F0E-B42E-6F92F1305894}">
  <sheetPr>
    <tabColor rgb="FFFF0000"/>
  </sheetPr>
  <dimension ref="A1:G16"/>
  <sheetViews>
    <sheetView workbookViewId="0">
      <selection activeCell="L6" sqref="L6"/>
    </sheetView>
  </sheetViews>
  <sheetFormatPr defaultRowHeight="14.4" x14ac:dyDescent="0.3"/>
  <cols>
    <col min="1" max="1" width="14.5546875" customWidth="1"/>
    <col min="2" max="2" width="17.5546875" customWidth="1"/>
    <col min="3" max="3" width="12.109375" customWidth="1"/>
    <col min="4" max="4" width="15.5546875" customWidth="1"/>
    <col min="5" max="5" width="15.44140625" customWidth="1"/>
    <col min="6" max="6" width="14.88671875" customWidth="1"/>
    <col min="7" max="7" width="26.109375" customWidth="1"/>
  </cols>
  <sheetData>
    <row r="1" spans="1:7" ht="21" x14ac:dyDescent="0.3">
      <c r="A1" s="6">
        <v>10</v>
      </c>
      <c r="B1" s="39"/>
      <c r="C1" s="39"/>
      <c r="D1" s="39"/>
    </row>
    <row r="2" spans="1:7" x14ac:dyDescent="0.3">
      <c r="D2" t="s">
        <v>54</v>
      </c>
    </row>
    <row r="3" spans="1:7" ht="21" x14ac:dyDescent="0.3">
      <c r="B3" s="7" t="s">
        <v>1</v>
      </c>
      <c r="C3" s="7" t="s">
        <v>104</v>
      </c>
      <c r="D3" s="7" t="s">
        <v>105</v>
      </c>
      <c r="E3" s="7" t="s">
        <v>106</v>
      </c>
      <c r="F3" s="7" t="s">
        <v>103</v>
      </c>
      <c r="G3" s="7" t="s">
        <v>23</v>
      </c>
    </row>
    <row r="4" spans="1:7" x14ac:dyDescent="0.3">
      <c r="B4" s="8" t="s">
        <v>56</v>
      </c>
      <c r="C4" s="8">
        <v>78</v>
      </c>
      <c r="D4" s="8">
        <v>23</v>
      </c>
      <c r="E4" s="8">
        <v>45</v>
      </c>
      <c r="F4" s="15">
        <v>0.49</v>
      </c>
      <c r="G4" s="8" t="str">
        <f>IF(F4&gt;=81%,"A Grade",IF(F4&gt;=61%,"B Grade",IF(F4&gt;=41%,"C Grade","D Grade")))</f>
        <v>C Grade</v>
      </c>
    </row>
    <row r="5" spans="1:7" x14ac:dyDescent="0.3">
      <c r="B5" s="8" t="s">
        <v>57</v>
      </c>
      <c r="C5" s="8">
        <v>29</v>
      </c>
      <c r="D5" s="8">
        <v>43</v>
      </c>
      <c r="E5" s="8">
        <v>65</v>
      </c>
      <c r="F5" s="15">
        <v>0.18</v>
      </c>
      <c r="G5" s="8" t="str">
        <f t="shared" ref="G5:G10" si="0">IF(F5&gt;=81%,"A Grade",IF(F5&gt;=61%,"B Grade",IF(F5&gt;=41%,"C Grade","D Grade")))</f>
        <v>D Grade</v>
      </c>
    </row>
    <row r="6" spans="1:7" x14ac:dyDescent="0.3">
      <c r="B6" s="8" t="s">
        <v>58</v>
      </c>
      <c r="C6" s="8">
        <v>87</v>
      </c>
      <c r="D6" s="8">
        <v>45</v>
      </c>
      <c r="E6" s="8">
        <v>76</v>
      </c>
      <c r="F6" s="15">
        <v>0.69</v>
      </c>
      <c r="G6" s="8" t="str">
        <f t="shared" si="0"/>
        <v>B Grade</v>
      </c>
    </row>
    <row r="7" spans="1:7" x14ac:dyDescent="0.3">
      <c r="B7" s="8" t="s">
        <v>59</v>
      </c>
      <c r="C7" s="8">
        <v>66</v>
      </c>
      <c r="D7" s="8">
        <v>65</v>
      </c>
      <c r="E7" s="8">
        <v>78</v>
      </c>
      <c r="F7" s="15">
        <v>0.7</v>
      </c>
      <c r="G7" s="8" t="str">
        <f t="shared" si="0"/>
        <v>B Grade</v>
      </c>
    </row>
    <row r="8" spans="1:7" x14ac:dyDescent="0.3">
      <c r="B8" s="8" t="s">
        <v>60</v>
      </c>
      <c r="C8" s="8">
        <v>55</v>
      </c>
      <c r="D8" s="8">
        <v>56</v>
      </c>
      <c r="E8" s="8">
        <v>76</v>
      </c>
      <c r="F8" s="15">
        <v>0.62</v>
      </c>
      <c r="G8" s="8" t="str">
        <f t="shared" si="0"/>
        <v>B Grade</v>
      </c>
    </row>
    <row r="9" spans="1:7" x14ac:dyDescent="0.3">
      <c r="B9" s="8" t="s">
        <v>61</v>
      </c>
      <c r="C9" s="8">
        <v>23</v>
      </c>
      <c r="D9" s="8">
        <v>76</v>
      </c>
      <c r="E9" s="8">
        <v>67</v>
      </c>
      <c r="F9" s="15">
        <v>0.55000000000000004</v>
      </c>
      <c r="G9" s="8" t="str">
        <f t="shared" si="0"/>
        <v>C Grade</v>
      </c>
    </row>
    <row r="10" spans="1:7" x14ac:dyDescent="0.3">
      <c r="B10" s="8" t="s">
        <v>62</v>
      </c>
      <c r="C10" s="8">
        <v>78</v>
      </c>
      <c r="D10" s="8">
        <v>67</v>
      </c>
      <c r="E10" s="8">
        <v>87</v>
      </c>
      <c r="F10" s="15">
        <v>0.99</v>
      </c>
      <c r="G10" s="8" t="str">
        <f t="shared" si="0"/>
        <v>A Grade</v>
      </c>
    </row>
    <row r="12" spans="1:7" ht="21" x14ac:dyDescent="0.3">
      <c r="B12" s="40" t="s">
        <v>108</v>
      </c>
      <c r="C12" s="40"/>
    </row>
    <row r="13" spans="1:7" x14ac:dyDescent="0.3">
      <c r="B13" s="8" t="s">
        <v>109</v>
      </c>
      <c r="C13" s="8" t="s">
        <v>30</v>
      </c>
    </row>
    <row r="14" spans="1:7" x14ac:dyDescent="0.3">
      <c r="B14" s="8" t="s">
        <v>110</v>
      </c>
      <c r="C14" s="8" t="s">
        <v>32</v>
      </c>
    </row>
    <row r="15" spans="1:7" x14ac:dyDescent="0.3">
      <c r="B15" s="8" t="s">
        <v>111</v>
      </c>
      <c r="C15" s="8" t="s">
        <v>34</v>
      </c>
    </row>
    <row r="16" spans="1:7" x14ac:dyDescent="0.3">
      <c r="B16" s="8" t="s">
        <v>112</v>
      </c>
      <c r="C16" s="8" t="s">
        <v>113</v>
      </c>
    </row>
  </sheetData>
  <mergeCells count="2">
    <mergeCell ref="B1:D1"/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F6FC-A59F-43C0-9F16-E7BB7204B735}">
  <sheetPr>
    <tabColor rgb="FFFFFF00"/>
  </sheetPr>
  <dimension ref="A1:D13"/>
  <sheetViews>
    <sheetView workbookViewId="0">
      <selection activeCell="K12" sqref="K12"/>
    </sheetView>
  </sheetViews>
  <sheetFormatPr defaultRowHeight="14.4" x14ac:dyDescent="0.3"/>
  <cols>
    <col min="2" max="2" width="20.6640625" customWidth="1"/>
    <col min="3" max="3" width="20.21875" customWidth="1"/>
    <col min="4" max="4" width="35.88671875" customWidth="1"/>
  </cols>
  <sheetData>
    <row r="1" spans="1:4" ht="25.8" x14ac:dyDescent="0.3">
      <c r="A1" s="16">
        <v>1</v>
      </c>
    </row>
    <row r="2" spans="1:4" ht="15" thickBot="1" x14ac:dyDescent="0.35"/>
    <row r="3" spans="1:4" ht="24" thickBot="1" x14ac:dyDescent="0.35">
      <c r="B3" s="18" t="s">
        <v>115</v>
      </c>
      <c r="C3" s="19">
        <v>1500</v>
      </c>
    </row>
    <row r="5" spans="1:4" ht="15" thickBot="1" x14ac:dyDescent="0.35"/>
    <row r="6" spans="1:4" ht="24" thickBot="1" x14ac:dyDescent="0.35">
      <c r="B6" s="18" t="s">
        <v>114</v>
      </c>
      <c r="C6" s="20" t="s">
        <v>116</v>
      </c>
      <c r="D6" s="21" t="s">
        <v>117</v>
      </c>
    </row>
    <row r="7" spans="1:4" ht="21" x14ac:dyDescent="0.3">
      <c r="B7" s="22" t="s">
        <v>118</v>
      </c>
      <c r="C7" s="23">
        <v>1000</v>
      </c>
      <c r="D7" s="24" t="str">
        <f>IF(C7&gt;$C$3,"Higher",IF(C7&lt;$C$3,"Lower",IF(C7=$C$3,"Equal")))</f>
        <v>Lower</v>
      </c>
    </row>
    <row r="8" spans="1:4" ht="21" x14ac:dyDescent="0.3">
      <c r="B8" s="25" t="s">
        <v>119</v>
      </c>
      <c r="C8" s="17">
        <v>2000</v>
      </c>
      <c r="D8" s="26" t="str" cm="1">
        <f t="array" ref="D8">_xlfn.IFS(C8&gt;$C$3,"Higher",C8&lt;$C$3,"Lower",C8=$C$3,"Equal")</f>
        <v>Higher</v>
      </c>
    </row>
    <row r="9" spans="1:4" ht="21" x14ac:dyDescent="0.3">
      <c r="B9" s="25" t="s">
        <v>120</v>
      </c>
      <c r="C9" s="17">
        <v>1500</v>
      </c>
      <c r="D9" s="26" t="str" cm="1">
        <f t="array" ref="D9">_xlfn.IFS(C9&gt;$C$3,"Higher",C9&lt;$C$3,"Lower",C9=$C$3,"Equal")</f>
        <v>Equal</v>
      </c>
    </row>
    <row r="10" spans="1:4" ht="21" x14ac:dyDescent="0.3">
      <c r="B10" s="25" t="s">
        <v>121</v>
      </c>
      <c r="C10" s="17">
        <v>1000</v>
      </c>
      <c r="D10" s="26" t="str" cm="1">
        <f t="array" ref="D10">_xlfn.IFS(C10&gt;$C$3,"Higher",C10&lt;$C$3,"Lower",C10=$C$3,"Equal")</f>
        <v>Lower</v>
      </c>
    </row>
    <row r="11" spans="1:4" ht="21" x14ac:dyDescent="0.3">
      <c r="B11" s="25" t="s">
        <v>122</v>
      </c>
      <c r="C11" s="17">
        <v>5000</v>
      </c>
      <c r="D11" s="26" t="str" cm="1">
        <f t="array" ref="D11">_xlfn.IFS(C11&gt;$C$3,"Higher",C11&lt;$C$3,"Lower",C11=$C$3,"Equal")</f>
        <v>Higher</v>
      </c>
    </row>
    <row r="12" spans="1:4" ht="21" x14ac:dyDescent="0.3">
      <c r="B12" s="25" t="s">
        <v>123</v>
      </c>
      <c r="C12" s="17">
        <v>2000</v>
      </c>
      <c r="D12" s="26" t="str" cm="1">
        <f t="array" ref="D12">_xlfn.IFS(C12&gt;$C$3,"Higher",C12&lt;$C$3,"Lower",C12=$C$3,"Equal")</f>
        <v>Higher</v>
      </c>
    </row>
    <row r="13" spans="1:4" ht="21.6" thickBot="1" x14ac:dyDescent="0.35">
      <c r="B13" s="27" t="s">
        <v>124</v>
      </c>
      <c r="C13" s="28">
        <v>1500</v>
      </c>
      <c r="D13" s="26" t="str" cm="1">
        <f t="array" ref="D13">_xlfn.IFS(C13&gt;$C$3,"Higher",C13&lt;$C$3,"Lower",C13=$C$3,"Equal")</f>
        <v>Equal</v>
      </c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EACB-1FC3-43D1-BDDF-1A6771FE8A88}">
  <sheetPr>
    <tabColor rgb="FFFFFF00"/>
  </sheetPr>
  <dimension ref="A1:J13"/>
  <sheetViews>
    <sheetView workbookViewId="0">
      <selection activeCell="D6" sqref="D6"/>
    </sheetView>
  </sheetViews>
  <sheetFormatPr defaultRowHeight="14.4" x14ac:dyDescent="0.3"/>
  <cols>
    <col min="2" max="2" width="20.6640625" customWidth="1"/>
    <col min="3" max="3" width="20.21875" customWidth="1"/>
    <col min="4" max="4" width="35.88671875" customWidth="1"/>
    <col min="9" max="9" width="19.21875" customWidth="1"/>
    <col min="10" max="10" width="16.88671875" customWidth="1"/>
  </cols>
  <sheetData>
    <row r="1" spans="1:10" ht="25.8" x14ac:dyDescent="0.3">
      <c r="A1" s="16">
        <v>2</v>
      </c>
    </row>
    <row r="3" spans="1:10" ht="15" thickBot="1" x14ac:dyDescent="0.35"/>
    <row r="4" spans="1:10" ht="23.4" x14ac:dyDescent="0.3">
      <c r="B4" s="29" t="s">
        <v>125</v>
      </c>
      <c r="C4" s="30" t="s">
        <v>42</v>
      </c>
      <c r="D4" s="31" t="s">
        <v>23</v>
      </c>
      <c r="I4" s="32" t="s">
        <v>42</v>
      </c>
      <c r="J4" s="32" t="s">
        <v>23</v>
      </c>
    </row>
    <row r="5" spans="1:10" ht="21" x14ac:dyDescent="0.3">
      <c r="B5" s="17" t="s">
        <v>44</v>
      </c>
      <c r="C5" s="17">
        <v>87</v>
      </c>
      <c r="D5" s="8" t="str" cm="1">
        <f t="array" ref="D5">_xlfn.IFS(C5&lt;30,"D",C5&lt;=50,"C",C5&lt;=80,"B",C5&lt;=100,"A")</f>
        <v>A</v>
      </c>
      <c r="I5" s="17" t="s">
        <v>128</v>
      </c>
      <c r="J5" s="17" t="s">
        <v>113</v>
      </c>
    </row>
    <row r="6" spans="1:10" ht="21" x14ac:dyDescent="0.3">
      <c r="B6" s="17" t="s">
        <v>45</v>
      </c>
      <c r="C6" s="17">
        <v>45</v>
      </c>
      <c r="D6" s="8" t="str" cm="1">
        <f t="array" ref="D6">_xlfn.IFS(C6&lt;30,"D",C6&lt;=50,"C",C6&lt;=80,"B",C6&lt;=100,"A")</f>
        <v>C</v>
      </c>
      <c r="I6" s="17" t="s">
        <v>129</v>
      </c>
      <c r="J6" s="17" t="s">
        <v>34</v>
      </c>
    </row>
    <row r="7" spans="1:10" ht="21" x14ac:dyDescent="0.3">
      <c r="B7" s="17" t="s">
        <v>46</v>
      </c>
      <c r="C7" s="17">
        <v>89</v>
      </c>
      <c r="D7" s="8" t="str" cm="1">
        <f t="array" ref="D7">_xlfn.IFS(C7&lt;30,"D",C7&lt;=50,"C",C7&lt;=80,"B",C7&lt;=100,"A")</f>
        <v>A</v>
      </c>
      <c r="I7" s="17" t="s">
        <v>130</v>
      </c>
      <c r="J7" s="17" t="s">
        <v>32</v>
      </c>
    </row>
    <row r="8" spans="1:10" ht="21" x14ac:dyDescent="0.3">
      <c r="B8" s="17" t="s">
        <v>47</v>
      </c>
      <c r="C8" s="17">
        <v>23</v>
      </c>
      <c r="D8" s="8" t="str" cm="1">
        <f t="array" ref="D8">_xlfn.IFS(C8&lt;30,"D",C8&lt;=50,"C",C8&lt;=80,"B",C8&lt;=100,"A")</f>
        <v>D</v>
      </c>
      <c r="I8" s="17" t="s">
        <v>131</v>
      </c>
      <c r="J8" s="17" t="s">
        <v>30</v>
      </c>
    </row>
    <row r="9" spans="1:10" ht="21" x14ac:dyDescent="0.3">
      <c r="B9" s="17" t="s">
        <v>48</v>
      </c>
      <c r="C9" s="17">
        <v>22</v>
      </c>
      <c r="D9" s="8" t="str" cm="1">
        <f t="array" ref="D9">_xlfn.IFS(C9&lt;30,"D",C9&lt;=50,"C",C9&lt;=80,"B",C9&lt;=100,"A")</f>
        <v>D</v>
      </c>
    </row>
    <row r="10" spans="1:10" ht="21" x14ac:dyDescent="0.3">
      <c r="B10" s="17" t="s">
        <v>49</v>
      </c>
      <c r="C10" s="17">
        <v>58</v>
      </c>
      <c r="D10" s="8" t="str" cm="1">
        <f t="array" ref="D10">_xlfn.IFS(C10&lt;30,"D",C10&lt;=50,"C",C10&lt;=80,"B",C10&lt;=100,"A")</f>
        <v>B</v>
      </c>
    </row>
    <row r="11" spans="1:10" ht="21" x14ac:dyDescent="0.3">
      <c r="B11" s="17" t="s">
        <v>50</v>
      </c>
      <c r="C11" s="17">
        <v>99</v>
      </c>
      <c r="D11" s="8" t="str" cm="1">
        <f t="array" ref="D11">_xlfn.IFS(C11&lt;30,"D",C11&lt;=50,"C",C11&lt;=80,"B",C11&lt;=100,"A")</f>
        <v>A</v>
      </c>
    </row>
    <row r="12" spans="1:10" ht="21" x14ac:dyDescent="0.3">
      <c r="B12" s="17" t="s">
        <v>126</v>
      </c>
      <c r="C12" s="17">
        <v>87</v>
      </c>
      <c r="D12" s="8" t="str" cm="1">
        <f t="array" ref="D12">_xlfn.IFS(C12&lt;30,"D",C12&lt;=50,"C",C12&lt;=80,"B",C12&lt;=100,"A")</f>
        <v>A</v>
      </c>
    </row>
    <row r="13" spans="1:10" ht="21" x14ac:dyDescent="0.3">
      <c r="B13" s="17" t="s">
        <v>127</v>
      </c>
      <c r="C13" s="17">
        <v>11</v>
      </c>
      <c r="D13" s="8" t="str" cm="1">
        <f t="array" ref="D13">_xlfn.IFS(C13&lt;30,"D",C13&lt;=50,"C",C13&lt;=80,"B",C13&lt;=100,"A")</f>
        <v>D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IF</vt:lpstr>
      <vt:lpstr>IF &amp; IFS</vt:lpstr>
      <vt:lpstr>IF (1)</vt:lpstr>
      <vt:lpstr>IF (2)</vt:lpstr>
      <vt:lpstr>IF (3)</vt:lpstr>
      <vt:lpstr>IF (4)</vt:lpstr>
      <vt:lpstr>IF (5)</vt:lpstr>
      <vt:lpstr>IF (6)</vt:lpstr>
      <vt:lpstr>IF (7)</vt:lpstr>
      <vt:lpstr>IF (8)</vt:lpstr>
      <vt:lpstr>IF (9)</vt:lpstr>
      <vt:lpstr>IF (10)</vt:lpstr>
      <vt:lpstr>IFS (1)</vt:lpstr>
      <vt:lpstr>IFS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2025-06-04T15:53:39Z</dcterms:created>
  <dcterms:modified xsi:type="dcterms:W3CDTF">2025-06-27T16:20:51Z</dcterms:modified>
</cp:coreProperties>
</file>