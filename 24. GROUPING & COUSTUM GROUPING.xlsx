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3" documentId="8_{761D89DC-8482-42E6-B9BC-B3504CFB62B9}" xr6:coauthVersionLast="47" xr6:coauthVersionMax="47" xr10:uidLastSave="{7B31E479-E2F1-42C7-83E7-B469E08B5031}"/>
  <bookViews>
    <workbookView xWindow="-108" yWindow="-108" windowWidth="23256" windowHeight="12576" xr2:uid="{5E782ECC-8CAE-45AB-A6FC-816A92C5341C}"/>
  </bookViews>
  <sheets>
    <sheet name="GROUPING | COUSTUM GROUPING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<sst xmlns="http://schemas.openxmlformats.org/spreadsheetml/2006/main" count="145" uniqueCount="95">
  <si>
    <t>Order Id.</t>
  </si>
  <si>
    <t>Order date</t>
  </si>
  <si>
    <t>Customer Name</t>
  </si>
  <si>
    <t>Country</t>
  </si>
  <si>
    <t>State</t>
  </si>
  <si>
    <t>City</t>
  </si>
  <si>
    <t>Region</t>
  </si>
  <si>
    <t>Quantity</t>
  </si>
  <si>
    <t>Sales</t>
  </si>
  <si>
    <t>profit</t>
  </si>
  <si>
    <t>Row Labels</t>
  </si>
  <si>
    <t>Sum of Sales</t>
  </si>
  <si>
    <t>KL-2024-5607031</t>
  </si>
  <si>
    <t>LANIBOWERS</t>
  </si>
  <si>
    <t>AUSTRIA</t>
  </si>
  <si>
    <t>VIENNA</t>
  </si>
  <si>
    <t>CENTRAL</t>
  </si>
  <si>
    <t>2011</t>
  </si>
  <si>
    <t>Years (Order date)</t>
  </si>
  <si>
    <t>Months (Order date)</t>
  </si>
  <si>
    <t>Days (Order date)</t>
  </si>
  <si>
    <t>Total</t>
  </si>
  <si>
    <t>KL-2024-5607032</t>
  </si>
  <si>
    <t>LANA ADKINS</t>
  </si>
  <si>
    <t>Jun</t>
  </si>
  <si>
    <t>KL-2024-5607033</t>
  </si>
  <si>
    <t>SOPOLINE NOEL</t>
  </si>
  <si>
    <t>06-Jun</t>
  </si>
  <si>
    <t>2011 Total</t>
  </si>
  <si>
    <t>KL-2024-5607034</t>
  </si>
  <si>
    <t>ABBOT HORTON</t>
  </si>
  <si>
    <t>GERMANY</t>
  </si>
  <si>
    <t>LOWER SAXONY</t>
  </si>
  <si>
    <t>LANGEN</t>
  </si>
  <si>
    <t>2012</t>
  </si>
  <si>
    <t>KL-2024-5607035</t>
  </si>
  <si>
    <t>HEDDA LIVINGSTON</t>
  </si>
  <si>
    <t>2013</t>
  </si>
  <si>
    <t>Aug</t>
  </si>
  <si>
    <t>10-Aug</t>
  </si>
  <si>
    <t>KL-2024-5607036</t>
  </si>
  <si>
    <t>HENRY HODGES</t>
  </si>
  <si>
    <t>Jul</t>
  </si>
  <si>
    <t>Aug Total</t>
  </si>
  <si>
    <t>KL-2024-5607037</t>
  </si>
  <si>
    <t>ARISTOTLE BARRETT</t>
  </si>
  <si>
    <t>INDIA</t>
  </si>
  <si>
    <t>MAHARASHTRA</t>
  </si>
  <si>
    <t>MUMBAI</t>
  </si>
  <si>
    <t>SOUTH</t>
  </si>
  <si>
    <t>08-Jul</t>
  </si>
  <si>
    <t>2013 Total</t>
  </si>
  <si>
    <t>KL-2024-5607038</t>
  </si>
  <si>
    <t>WENDY NEAL</t>
  </si>
  <si>
    <t>BIHAR</t>
  </si>
  <si>
    <t>PATNA</t>
  </si>
  <si>
    <t>2014</t>
  </si>
  <si>
    <t>KL-2024-5607039</t>
  </si>
  <si>
    <t>RAYMOND MCKENZIE</t>
  </si>
  <si>
    <t>SPAIN</t>
  </si>
  <si>
    <t>VALENCIANA</t>
  </si>
  <si>
    <t>GANDIA</t>
  </si>
  <si>
    <t>2015</t>
  </si>
  <si>
    <t>KL-2024-5607040</t>
  </si>
  <si>
    <t>ZEPHR HICKMAN</t>
  </si>
  <si>
    <t>DENMARK</t>
  </si>
  <si>
    <t>HOVEDSTADEN</t>
  </si>
  <si>
    <t>COPENHAGEN</t>
  </si>
  <si>
    <t>NORTH</t>
  </si>
  <si>
    <t>Sep</t>
  </si>
  <si>
    <t>2016</t>
  </si>
  <si>
    <t>KL-2024-5607041</t>
  </si>
  <si>
    <t>GEORGIA KANE</t>
  </si>
  <si>
    <t>FRANCE</t>
  </si>
  <si>
    <t>ILE-DE-FRANCE</t>
  </si>
  <si>
    <t>VILLIERS-SUR-MARNE</t>
  </si>
  <si>
    <t>2017</t>
  </si>
  <si>
    <t>KL-2024-5607042</t>
  </si>
  <si>
    <t>STELLA DEJESUS</t>
  </si>
  <si>
    <t>BELGIUM</t>
  </si>
  <si>
    <t>FLEMISH BRABANT</t>
  </si>
  <si>
    <t>LEUVEN</t>
  </si>
  <si>
    <t>2019</t>
  </si>
  <si>
    <t>KL-2024-5607043</t>
  </si>
  <si>
    <t>DAHLIA PORTER</t>
  </si>
  <si>
    <t>2020</t>
  </si>
  <si>
    <t>2021</t>
  </si>
  <si>
    <t>2022</t>
  </si>
  <si>
    <t>South</t>
  </si>
  <si>
    <t>2023</t>
  </si>
  <si>
    <t>2023 Total</t>
  </si>
  <si>
    <t>2024</t>
  </si>
  <si>
    <t>Grand Total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</si>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</sst>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0" fillId="0" borderId="0" xfId="0" pivotButt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B2E64C-AEAF-4956-8D58-DF6C94DBDC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60.459370023149" createdVersion="8" refreshedVersion="8" minRefreshableVersion="3" recordCount="13" xr:uid="{26886C8B-1AB1-4A73-9063-0189D8D80402}">
  <cacheSource type="worksheet">
    <worksheetSource ref="A1:J14" sheet="GROUPING | COUSTUM GROUPING" r:id="rId2"/>
  </cacheSource>
  <cacheFields count="15">
    <cacheField name="Order Id." numFmtId="0">
      <sharedItems/>
    </cacheField>
    <cacheField name="Order date" numFmtId="14">
      <sharedItems containsSemiMixedTypes="0" containsNonDate="0" containsDate="1" containsString="0" minDate="2011-06-06T00:00:00" maxDate="2024-07-04T00:00:00" count="13">
        <d v="2011-06-06T00:00:00"/>
        <d v="2012-07-08T00:00:00"/>
        <d v="2013-08-10T00:00:00"/>
        <d v="2014-09-12T00:00:00"/>
        <d v="2015-10-15T00:00:00"/>
        <d v="2016-11-16T00:00:00"/>
        <d v="2017-12-19T00:00:00"/>
        <d v="2019-01-21T00:00:00"/>
        <d v="2020-02-23T00:00:00"/>
        <d v="2021-03-27T00:00:00"/>
        <d v="2022-04-29T00:00:00"/>
        <d v="2023-06-01T00:00:00"/>
        <d v="2024-07-03T00:00:00"/>
      </sharedItems>
      <fieldGroup par="14"/>
    </cacheField>
    <cacheField name="Customer Name" numFmtId="0">
      <sharedItems/>
    </cacheField>
    <cacheField name="Country" numFmtId="0">
      <sharedItems count="7">
        <s v="AUSTRIA"/>
        <s v="GERMANY"/>
        <s v="INDIA"/>
        <s v="SPAIN"/>
        <s v="DENMARK"/>
        <s v="FRANCE"/>
        <s v="BELGIUM"/>
      </sharedItems>
      <fieldGroup par="10"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23" maxValue="2565"/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  <cacheField name="Country2" numFmtId="0" databaseField="0">
      <fieldGroup par="11" base="3">
        <discretePr count="7">
          <x v="2"/>
          <x v="1"/>
          <x v="1"/>
          <x v="0"/>
          <x v="2"/>
          <x v="1"/>
          <x v="2"/>
        </discretePr>
        <groupItems count="3">
          <s v="SPAIN"/>
          <s v="Group2"/>
          <s v="Group1"/>
        </groupItems>
      </fieldGroup>
    </cacheField>
    <cacheField name="Country3" numFmtId="0" databaseField="0">
      <fieldGroup base="3">
        <discretePr count="7">
          <x v="0"/>
          <x v="0"/>
          <x v="0"/>
          <x v="0"/>
          <x v="0"/>
          <x v="0"/>
          <x v="0"/>
        </discretePr>
        <groupItems count="1">
          <s v="Group2"/>
        </groupItems>
      </fieldGroup>
    </cacheField>
    <cacheField name="Days (Order date)" numFmtId="0" databaseField="0">
      <fieldGroup base="1">
        <rangePr groupBy="days" startDate="2011-06-06T00:00:00" endDate="2024-07-04T00:00:00"/>
        <groupItems count="368">
          <s v="&lt;06-06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-07-2024"/>
        </groupItems>
      </fieldGroup>
    </cacheField>
    <cacheField name="Months (Order date)" numFmtId="0" databaseField="0">
      <fieldGroup base="1">
        <rangePr groupBy="months" startDate="2011-06-06T00:00:00" endDate="2024-07-04T00:00:00"/>
        <groupItems count="14">
          <s v="&lt;06-06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7-2024"/>
        </groupItems>
      </fieldGroup>
    </cacheField>
    <cacheField name="Years (Order date)" numFmtId="0" databaseField="0">
      <fieldGroup base="1">
        <rangePr groupBy="years" startDate="2011-06-06T00:00:00" endDate="2024-07-04T00:00:00"/>
        <groupItems count="16">
          <s v="&lt;06-06-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04-07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x v="0"/>
    <s v="LANIBOWERS"/>
    <x v="0"/>
    <s v="VIENNA"/>
    <s v="VIENNA"/>
    <s v="CENTRAL"/>
    <n v="256"/>
    <n v="2934"/>
    <n v="1819"/>
  </r>
  <r>
    <s v="KL-2024-5607032"/>
    <x v="1"/>
    <s v="LANA ADKINS"/>
    <x v="0"/>
    <s v="VIENNA"/>
    <s v="VIENNA"/>
    <s v="CENTRAL"/>
    <n v="235"/>
    <n v="2234"/>
    <n v="1564"/>
  </r>
  <r>
    <s v="KL-2024-5607033"/>
    <x v="2"/>
    <s v="SOPOLINE NOEL"/>
    <x v="0"/>
    <s v="VIENNA"/>
    <s v="VIENNA"/>
    <s v="CENTRAL"/>
    <n v="25"/>
    <n v="4534"/>
    <n v="2453"/>
  </r>
  <r>
    <s v="KL-2024-5607034"/>
    <x v="3"/>
    <s v="ABBOT HORTON"/>
    <x v="1"/>
    <s v="LOWER SAXONY"/>
    <s v="LANGEN"/>
    <s v="CENTRAL"/>
    <n v="653"/>
    <n v="5646"/>
    <n v="7823"/>
  </r>
  <r>
    <s v="KL-2024-5607035"/>
    <x v="4"/>
    <s v="HEDDA LIVINGSTON"/>
    <x v="1"/>
    <s v="LOWER SAXONY"/>
    <s v="LANGEN"/>
    <s v="CENTRAL"/>
    <n v="133"/>
    <n v="5683"/>
    <n v="9865"/>
  </r>
  <r>
    <s v="KL-2024-5607036"/>
    <x v="5"/>
    <s v="HENRY HODGES"/>
    <x v="1"/>
    <s v="LOWER SAXONY"/>
    <s v="LANGEN"/>
    <s v="CENTRAL"/>
    <n v="89"/>
    <n v="5458"/>
    <n v="2456"/>
  </r>
  <r>
    <s v="KL-2024-5607037"/>
    <x v="6"/>
    <s v="ARISTOTLE BARRETT"/>
    <x v="2"/>
    <s v="MAHARASHTRA"/>
    <s v="MUMBAI"/>
    <s v="SOUTH"/>
    <n v="956"/>
    <n v="8964"/>
    <n v="3256"/>
  </r>
  <r>
    <s v="KL-2024-5607038"/>
    <x v="7"/>
    <s v="WENDY NEAL"/>
    <x v="2"/>
    <s v="BIHAR"/>
    <s v="PATNA"/>
    <s v="SOUTH"/>
    <n v="256"/>
    <n v="2235"/>
    <n v="2463"/>
  </r>
  <r>
    <s v="KL-2024-5607039"/>
    <x v="8"/>
    <s v="RAYMOND MCKENZIE"/>
    <x v="3"/>
    <s v="VALENCIANA"/>
    <s v="GANDIA"/>
    <s v="SOUTH"/>
    <n v="147"/>
    <n v="5656"/>
    <n v="2395"/>
  </r>
  <r>
    <s v="KL-2024-5607040"/>
    <x v="9"/>
    <s v="ZEPHR HICKMAN"/>
    <x v="4"/>
    <s v="HOVEDSTADEN"/>
    <s v="COPENHAGEN"/>
    <s v="NORTH"/>
    <n v="23"/>
    <n v="5656"/>
    <n v="2365"/>
  </r>
  <r>
    <s v="KL-2024-5607041"/>
    <x v="10"/>
    <s v="GEORGIA KANE"/>
    <x v="5"/>
    <s v="ILE-DE-FRANCE"/>
    <s v="VILLIERS-SUR-MARNE"/>
    <s v="CENTRAL"/>
    <n v="236"/>
    <n v="6656"/>
    <n v="2563"/>
  </r>
  <r>
    <s v="KL-2024-5607042"/>
    <x v="11"/>
    <s v="STELLA DEJESUS"/>
    <x v="6"/>
    <s v="FLEMISH BRABANT"/>
    <s v="LEUVEN"/>
    <s v="CENTRAL"/>
    <n v="2565"/>
    <n v="7893"/>
    <n v="2563"/>
  </r>
  <r>
    <s v="KL-2024-5607043"/>
    <x v="12"/>
    <s v="DAHLIA PORTER"/>
    <x v="6"/>
    <s v="FLEMISH BRABANT"/>
    <s v="LEUVEN"/>
    <s v="CENTRAL"/>
    <n v="25"/>
    <n v="1586"/>
    <n v="2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3503A-B1A6-4B67-9DC4-FF3B0BC42F3D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3" firstHeaderRow="1" firstDataRow="1" firstDataCol="1"/>
  <pivotFields count="15"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8">
        <item x="0"/>
        <item x="6"/>
        <item x="4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4">
        <item n="South" x="2"/>
        <item n="North" sd="0" x="1"/>
        <item n="East" sd="0" x="0"/>
        <item t="default"/>
      </items>
    </pivotField>
    <pivotField showAll="0">
      <items count="2">
        <item n="South"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0"/>
    <field x="3"/>
  </rowFields>
  <rowItems count="7">
    <i>
      <x/>
    </i>
    <i r="1">
      <x/>
    </i>
    <i r="1">
      <x v="1"/>
    </i>
    <i r="1">
      <x v="2"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93ACC-F75E-404F-8D79-F745E52839A3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O1:R20" firstHeaderRow="2" firstDataRow="2" firstDataCol="3"/>
  <pivotFields count="15">
    <pivotField compact="0" outline="0" showAll="0"/>
    <pivotField compact="0" numFmtId="14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>
      <items count="8">
        <item x="0"/>
        <item x="6"/>
        <item x="4"/>
        <item x="5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3">
        <item x="0"/>
        <item x="1"/>
        <item x="2"/>
      </items>
    </pivotField>
    <pivotField compact="0" outline="0" showAll="0" defaultSubtotal="0">
      <items count="1">
        <item x="0"/>
      </items>
    </pivotField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>
      <items count="15">
        <item x="0"/>
        <item x="1"/>
        <item x="2"/>
        <item x="3"/>
        <item x="4"/>
        <item x="5"/>
        <item sd="0" x="6"/>
        <item sd="0" x="7"/>
        <item x="8"/>
        <item sd="0" x="9"/>
        <item sd="0" x="10"/>
        <item x="11"/>
        <item x="12"/>
        <item x="13"/>
        <item t="default"/>
      </items>
    </pivotField>
    <pivotField axis="axisRow" compact="0" outline="0" showAll="0">
      <items count="17">
        <item x="0"/>
        <item x="1"/>
        <item sd="0" x="2"/>
        <item x="3"/>
        <item sd="0" x="4"/>
        <item sd="0" x="5"/>
        <item sd="0" x="6"/>
        <item sd="0" x="7"/>
        <item x="8"/>
        <item sd="0" x="9"/>
        <item sd="0" x="10"/>
        <item sd="0" x="11"/>
        <item sd="0" x="12"/>
        <item x="13"/>
        <item sd="0" x="14"/>
        <item x="15"/>
        <item t="default"/>
      </items>
    </pivotField>
  </pivotFields>
  <rowFields count="3">
    <field x="14"/>
    <field x="13"/>
    <field x="12"/>
  </rowFields>
  <rowItems count="18">
    <i>
      <x v="1"/>
      <x v="6"/>
    </i>
    <i t="default">
      <x v="1"/>
    </i>
    <i>
      <x v="2"/>
    </i>
    <i>
      <x v="3"/>
      <x v="8"/>
      <x v="223"/>
    </i>
    <i t="default" r="1">
      <x v="8"/>
    </i>
    <i t="default"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  <x v="6"/>
    </i>
    <i t="default">
      <x v="13"/>
    </i>
    <i>
      <x v="14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1F849-EC86-4ADA-B89A-DB57DF6D7875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21" firstHeaderRow="1" firstDataRow="1" firstDataCol="1"/>
  <pivotFields count="15">
    <pivotField showAll="0"/>
    <pivotField axis="axisRow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6"/>
        <item x="4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sd="0"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sd="0" x="9"/>
        <item x="10"/>
        <item x="11"/>
        <item x="12"/>
        <item x="13"/>
        <item t="default"/>
      </items>
    </pivotField>
    <pivotField axis="axisRow" showAll="0">
      <items count="17">
        <item x="0"/>
        <item x="1"/>
        <item x="2"/>
        <item sd="0" x="3"/>
        <item x="4"/>
        <item sd="0" x="5"/>
        <item sd="0" x="6"/>
        <item sd="0" x="7"/>
        <item x="8"/>
        <item sd="0" x="9"/>
        <item sd="0" x="10"/>
        <item sd="0" x="11"/>
        <item sd="0" x="12"/>
        <item sd="0" x="13"/>
        <item sd="0" x="14"/>
        <item x="15"/>
        <item t="default"/>
      </items>
    </pivotField>
  </pivotFields>
  <rowFields count="4">
    <field x="14"/>
    <field x="13"/>
    <field x="12"/>
    <field x="1"/>
  </rowFields>
  <rowItems count="20">
    <i>
      <x v="1"/>
    </i>
    <i r="1">
      <x v="6"/>
    </i>
    <i r="2">
      <x v="158"/>
    </i>
    <i r="3">
      <x/>
    </i>
    <i>
      <x v="2"/>
    </i>
    <i r="1">
      <x v="7"/>
    </i>
    <i r="2">
      <x v="190"/>
    </i>
    <i>
      <x v="3"/>
    </i>
    <i>
      <x v="4"/>
    </i>
    <i r="1">
      <x v="9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E36F-EECF-4C65-B302-62F4011C8EBC}">
  <dimension ref="A1:R23"/>
  <sheetViews>
    <sheetView tabSelected="1" workbookViewId="0">
      <selection activeCell="E19" sqref="E19"/>
    </sheetView>
  </sheetViews>
  <sheetFormatPr defaultRowHeight="14.4" x14ac:dyDescent="0.3"/>
  <cols>
    <col min="1" max="1" width="19.109375" customWidth="1"/>
    <col min="2" max="2" width="17" bestFit="1" customWidth="1"/>
    <col min="3" max="3" width="26.6640625" customWidth="1"/>
    <col min="4" max="4" width="14.109375" bestFit="1" customWidth="1"/>
    <col min="5" max="5" width="21.109375" customWidth="1"/>
    <col min="6" max="6" width="22.109375" bestFit="1" customWidth="1"/>
    <col min="7" max="7" width="11.109375" bestFit="1" customWidth="1"/>
    <col min="8" max="8" width="13.88671875" bestFit="1" customWidth="1"/>
    <col min="9" max="9" width="10" customWidth="1"/>
    <col min="10" max="10" width="11.109375" customWidth="1"/>
    <col min="11" max="11" width="9.44140625" customWidth="1"/>
    <col min="12" max="12" width="18.33203125" customWidth="1"/>
    <col min="13" max="13" width="12.109375" bestFit="1" customWidth="1"/>
    <col min="15" max="15" width="19.88671875" bestFit="1" customWidth="1"/>
    <col min="16" max="16" width="21.88671875" bestFit="1" customWidth="1"/>
    <col min="17" max="17" width="19.88671875" customWidth="1"/>
    <col min="18" max="18" width="10.5546875" customWidth="1"/>
    <col min="19" max="19" width="12.88671875" bestFit="1" customWidth="1"/>
    <col min="20" max="20" width="19.109375" bestFit="1" customWidth="1"/>
    <col min="21" max="21" width="6.6640625" bestFit="1" customWidth="1"/>
  </cols>
  <sheetData>
    <row r="1" spans="1:18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8" t="s">
        <v>10</v>
      </c>
      <c r="M1" t="s">
        <v>11</v>
      </c>
      <c r="O1" s="8" t="s">
        <v>11</v>
      </c>
    </row>
    <row r="2" spans="1:18" ht="15.6" x14ac:dyDescent="0.3">
      <c r="A2" s="2" t="s">
        <v>12</v>
      </c>
      <c r="B2" s="3">
        <v>40700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>
        <v>256</v>
      </c>
      <c r="I2" s="2">
        <v>2934</v>
      </c>
      <c r="J2" s="2">
        <v>1819</v>
      </c>
      <c r="L2" s="4" t="s">
        <v>17</v>
      </c>
      <c r="M2">
        <v>2934</v>
      </c>
      <c r="O2" s="8" t="s">
        <v>18</v>
      </c>
      <c r="P2" s="8" t="s">
        <v>19</v>
      </c>
      <c r="Q2" s="8" t="s">
        <v>20</v>
      </c>
      <c r="R2" t="s">
        <v>21</v>
      </c>
    </row>
    <row r="3" spans="1:18" ht="15.6" x14ac:dyDescent="0.3">
      <c r="A3" s="2" t="s">
        <v>22</v>
      </c>
      <c r="B3" s="3">
        <v>41098</v>
      </c>
      <c r="C3" s="2" t="s">
        <v>23</v>
      </c>
      <c r="D3" s="2" t="s">
        <v>14</v>
      </c>
      <c r="E3" s="2" t="s">
        <v>15</v>
      </c>
      <c r="F3" s="2" t="s">
        <v>15</v>
      </c>
      <c r="G3" s="2" t="s">
        <v>16</v>
      </c>
      <c r="H3" s="2">
        <v>235</v>
      </c>
      <c r="I3" s="2">
        <v>2234</v>
      </c>
      <c r="J3" s="2">
        <v>1564</v>
      </c>
      <c r="L3" s="5" t="s">
        <v>24</v>
      </c>
      <c r="M3">
        <v>2934</v>
      </c>
      <c r="O3" t="s">
        <v>17</v>
      </c>
      <c r="P3" t="s">
        <v>24</v>
      </c>
      <c r="R3">
        <v>2934</v>
      </c>
    </row>
    <row r="4" spans="1:18" ht="15.6" x14ac:dyDescent="0.3">
      <c r="A4" s="2" t="s">
        <v>25</v>
      </c>
      <c r="B4" s="3">
        <v>41496</v>
      </c>
      <c r="C4" s="2" t="s">
        <v>26</v>
      </c>
      <c r="D4" s="2" t="s">
        <v>14</v>
      </c>
      <c r="E4" s="2" t="s">
        <v>15</v>
      </c>
      <c r="F4" s="2" t="s">
        <v>15</v>
      </c>
      <c r="G4" s="2" t="s">
        <v>16</v>
      </c>
      <c r="H4" s="2">
        <v>25</v>
      </c>
      <c r="I4" s="2">
        <v>4534</v>
      </c>
      <c r="J4" s="2">
        <v>2453</v>
      </c>
      <c r="L4" s="6" t="s">
        <v>27</v>
      </c>
      <c r="M4">
        <v>2934</v>
      </c>
      <c r="O4" t="s">
        <v>28</v>
      </c>
      <c r="R4">
        <v>2934</v>
      </c>
    </row>
    <row r="5" spans="1:18" ht="15.6" x14ac:dyDescent="0.3">
      <c r="A5" s="2" t="s">
        <v>29</v>
      </c>
      <c r="B5" s="3">
        <v>41894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>
        <v>653</v>
      </c>
      <c r="I5" s="2">
        <v>5646</v>
      </c>
      <c r="J5" s="2">
        <v>7823</v>
      </c>
      <c r="L5" s="7">
        <v>40700</v>
      </c>
      <c r="M5">
        <v>2934</v>
      </c>
      <c r="O5" t="s">
        <v>34</v>
      </c>
      <c r="R5">
        <v>2234</v>
      </c>
    </row>
    <row r="6" spans="1:18" ht="15.6" x14ac:dyDescent="0.3">
      <c r="A6" s="2" t="s">
        <v>35</v>
      </c>
      <c r="B6" s="3">
        <v>42292</v>
      </c>
      <c r="C6" s="2" t="s">
        <v>36</v>
      </c>
      <c r="D6" s="2" t="s">
        <v>31</v>
      </c>
      <c r="E6" s="2" t="s">
        <v>32</v>
      </c>
      <c r="F6" s="2" t="s">
        <v>33</v>
      </c>
      <c r="G6" s="2" t="s">
        <v>16</v>
      </c>
      <c r="H6" s="2">
        <v>133</v>
      </c>
      <c r="I6" s="2">
        <v>5683</v>
      </c>
      <c r="J6" s="2">
        <v>9865</v>
      </c>
      <c r="L6" s="4" t="s">
        <v>34</v>
      </c>
      <c r="M6">
        <v>2234</v>
      </c>
      <c r="O6" t="s">
        <v>37</v>
      </c>
      <c r="P6" t="s">
        <v>38</v>
      </c>
      <c r="Q6" t="s">
        <v>39</v>
      </c>
      <c r="R6">
        <v>4534</v>
      </c>
    </row>
    <row r="7" spans="1:18" ht="15.6" x14ac:dyDescent="0.3">
      <c r="A7" s="2" t="s">
        <v>40</v>
      </c>
      <c r="B7" s="3">
        <v>42690</v>
      </c>
      <c r="C7" s="2" t="s">
        <v>41</v>
      </c>
      <c r="D7" s="2" t="s">
        <v>31</v>
      </c>
      <c r="E7" s="2" t="s">
        <v>32</v>
      </c>
      <c r="F7" s="2" t="s">
        <v>33</v>
      </c>
      <c r="G7" s="2" t="s">
        <v>16</v>
      </c>
      <c r="H7" s="2">
        <v>89</v>
      </c>
      <c r="I7" s="2">
        <v>5458</v>
      </c>
      <c r="J7" s="2">
        <v>2456</v>
      </c>
      <c r="L7" s="5" t="s">
        <v>42</v>
      </c>
      <c r="M7">
        <v>2234</v>
      </c>
      <c r="P7" t="s">
        <v>43</v>
      </c>
      <c r="R7">
        <v>4534</v>
      </c>
    </row>
    <row r="8" spans="1:18" ht="15.6" x14ac:dyDescent="0.3">
      <c r="A8" s="2" t="s">
        <v>44</v>
      </c>
      <c r="B8" s="3">
        <v>43088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>
        <v>956</v>
      </c>
      <c r="I8" s="2">
        <v>8964</v>
      </c>
      <c r="J8" s="2">
        <v>3256</v>
      </c>
      <c r="L8" s="6" t="s">
        <v>50</v>
      </c>
      <c r="M8">
        <v>2234</v>
      </c>
      <c r="O8" t="s">
        <v>51</v>
      </c>
      <c r="R8">
        <v>4534</v>
      </c>
    </row>
    <row r="9" spans="1:18" ht="15.6" x14ac:dyDescent="0.3">
      <c r="A9" s="2" t="s">
        <v>52</v>
      </c>
      <c r="B9" s="3">
        <v>43486</v>
      </c>
      <c r="C9" s="2" t="s">
        <v>53</v>
      </c>
      <c r="D9" s="2" t="s">
        <v>46</v>
      </c>
      <c r="E9" s="2" t="s">
        <v>54</v>
      </c>
      <c r="F9" s="2" t="s">
        <v>55</v>
      </c>
      <c r="G9" s="2" t="s">
        <v>49</v>
      </c>
      <c r="H9" s="2">
        <v>256</v>
      </c>
      <c r="I9" s="2">
        <v>2235</v>
      </c>
      <c r="J9" s="2">
        <v>2463</v>
      </c>
      <c r="L9" s="4" t="s">
        <v>37</v>
      </c>
      <c r="M9">
        <v>4534</v>
      </c>
      <c r="O9" t="s">
        <v>56</v>
      </c>
      <c r="R9">
        <v>5646</v>
      </c>
    </row>
    <row r="10" spans="1:18" ht="15.6" x14ac:dyDescent="0.3">
      <c r="A10" s="2" t="s">
        <v>57</v>
      </c>
      <c r="B10" s="3">
        <v>43884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49</v>
      </c>
      <c r="H10" s="2">
        <v>147</v>
      </c>
      <c r="I10" s="2">
        <v>5656</v>
      </c>
      <c r="J10" s="2">
        <v>2395</v>
      </c>
      <c r="L10" s="4" t="s">
        <v>56</v>
      </c>
      <c r="M10">
        <v>5646</v>
      </c>
      <c r="O10" t="s">
        <v>62</v>
      </c>
      <c r="R10">
        <v>5683</v>
      </c>
    </row>
    <row r="11" spans="1:18" ht="15.6" x14ac:dyDescent="0.3">
      <c r="A11" s="2" t="s">
        <v>63</v>
      </c>
      <c r="B11" s="3">
        <v>44282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>
        <v>23</v>
      </c>
      <c r="I11" s="2">
        <v>5656</v>
      </c>
      <c r="J11" s="2">
        <v>2365</v>
      </c>
      <c r="L11" s="5" t="s">
        <v>69</v>
      </c>
      <c r="M11">
        <v>5646</v>
      </c>
      <c r="O11" t="s">
        <v>70</v>
      </c>
      <c r="R11">
        <v>5458</v>
      </c>
    </row>
    <row r="12" spans="1:18" ht="15.6" x14ac:dyDescent="0.3">
      <c r="A12" s="2" t="s">
        <v>71</v>
      </c>
      <c r="B12" s="3">
        <v>44680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16</v>
      </c>
      <c r="H12" s="2">
        <v>236</v>
      </c>
      <c r="I12" s="2">
        <v>6656</v>
      </c>
      <c r="J12" s="2">
        <v>2563</v>
      </c>
      <c r="L12" s="4" t="s">
        <v>62</v>
      </c>
      <c r="M12">
        <v>5683</v>
      </c>
      <c r="O12" t="s">
        <v>76</v>
      </c>
      <c r="R12">
        <v>8964</v>
      </c>
    </row>
    <row r="13" spans="1:18" ht="15.6" x14ac:dyDescent="0.3">
      <c r="A13" s="2" t="s">
        <v>77</v>
      </c>
      <c r="B13" s="3">
        <v>45078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16</v>
      </c>
      <c r="H13" s="2">
        <v>2565</v>
      </c>
      <c r="I13" s="2">
        <v>7893</v>
      </c>
      <c r="J13" s="2">
        <v>2563</v>
      </c>
      <c r="L13" s="4" t="s">
        <v>70</v>
      </c>
      <c r="M13">
        <v>5458</v>
      </c>
      <c r="O13" t="s">
        <v>82</v>
      </c>
      <c r="R13">
        <v>2235</v>
      </c>
    </row>
    <row r="14" spans="1:18" ht="15.6" x14ac:dyDescent="0.3">
      <c r="A14" s="2" t="s">
        <v>83</v>
      </c>
      <c r="B14" s="3">
        <v>45476</v>
      </c>
      <c r="C14" s="2" t="s">
        <v>84</v>
      </c>
      <c r="D14" s="2" t="s">
        <v>79</v>
      </c>
      <c r="E14" s="2" t="s">
        <v>80</v>
      </c>
      <c r="F14" s="2" t="s">
        <v>81</v>
      </c>
      <c r="G14" s="2" t="s">
        <v>16</v>
      </c>
      <c r="H14" s="2">
        <v>25</v>
      </c>
      <c r="I14" s="2">
        <v>1586</v>
      </c>
      <c r="J14" s="2">
        <v>2556</v>
      </c>
      <c r="L14" s="4" t="s">
        <v>76</v>
      </c>
      <c r="M14">
        <v>8964</v>
      </c>
      <c r="O14" t="s">
        <v>85</v>
      </c>
      <c r="R14">
        <v>5656</v>
      </c>
    </row>
    <row r="15" spans="1:18" x14ac:dyDescent="0.3">
      <c r="L15" s="4" t="s">
        <v>82</v>
      </c>
      <c r="M15">
        <v>2235</v>
      </c>
      <c r="O15" t="s">
        <v>86</v>
      </c>
      <c r="R15">
        <v>5656</v>
      </c>
    </row>
    <row r="16" spans="1:18" ht="28.5" customHeight="1" x14ac:dyDescent="0.3">
      <c r="D16" s="8" t="s">
        <v>10</v>
      </c>
      <c r="E16" t="s">
        <v>11</v>
      </c>
      <c r="L16" s="4" t="s">
        <v>85</v>
      </c>
      <c r="M16">
        <v>5656</v>
      </c>
      <c r="O16" t="s">
        <v>87</v>
      </c>
      <c r="R16">
        <v>6656</v>
      </c>
    </row>
    <row r="17" spans="4:18" ht="20.25" customHeight="1" x14ac:dyDescent="0.3">
      <c r="D17" s="4" t="s">
        <v>88</v>
      </c>
      <c r="E17">
        <v>24837</v>
      </c>
      <c r="L17" s="4" t="s">
        <v>86</v>
      </c>
      <c r="M17">
        <v>5656</v>
      </c>
      <c r="O17" t="s">
        <v>89</v>
      </c>
      <c r="P17" t="s">
        <v>24</v>
      </c>
      <c r="R17">
        <v>7893</v>
      </c>
    </row>
    <row r="18" spans="4:18" ht="23.25" customHeight="1" x14ac:dyDescent="0.3">
      <c r="D18" s="5" t="s">
        <v>14</v>
      </c>
      <c r="E18">
        <v>9702</v>
      </c>
      <c r="L18" s="4" t="s">
        <v>87</v>
      </c>
      <c r="M18">
        <v>6656</v>
      </c>
      <c r="O18" t="s">
        <v>90</v>
      </c>
      <c r="R18">
        <v>7893</v>
      </c>
    </row>
    <row r="19" spans="4:18" ht="18" customHeight="1" x14ac:dyDescent="0.3">
      <c r="D19" s="5" t="s">
        <v>79</v>
      </c>
      <c r="E19">
        <v>9479</v>
      </c>
      <c r="L19" s="4" t="s">
        <v>89</v>
      </c>
      <c r="M19">
        <v>7893</v>
      </c>
      <c r="O19" t="s">
        <v>91</v>
      </c>
      <c r="R19">
        <v>1586</v>
      </c>
    </row>
    <row r="20" spans="4:18" ht="24.75" customHeight="1" x14ac:dyDescent="0.3">
      <c r="D20" s="5" t="s">
        <v>65</v>
      </c>
      <c r="E20">
        <v>5656</v>
      </c>
      <c r="L20" s="4" t="s">
        <v>91</v>
      </c>
      <c r="M20">
        <v>1586</v>
      </c>
      <c r="O20" t="s">
        <v>92</v>
      </c>
      <c r="R20">
        <v>65135</v>
      </c>
    </row>
    <row r="21" spans="4:18" x14ac:dyDescent="0.3">
      <c r="D21" s="4" t="s">
        <v>93</v>
      </c>
      <c r="E21">
        <v>34642</v>
      </c>
      <c r="L21" s="4" t="s">
        <v>92</v>
      </c>
      <c r="M21">
        <v>65135</v>
      </c>
    </row>
    <row r="22" spans="4:18" x14ac:dyDescent="0.3">
      <c r="D22" s="4" t="s">
        <v>94</v>
      </c>
      <c r="E22">
        <v>5656</v>
      </c>
    </row>
    <row r="23" spans="4:18" x14ac:dyDescent="0.3">
      <c r="D23" s="4" t="s">
        <v>92</v>
      </c>
      <c r="E23">
        <v>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GROUPING | COUSTUM 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2025-06-05T14:38:45Z</dcterms:created>
  <dcterms:modified xsi:type="dcterms:W3CDTF">2025-07-12T18:20:11Z</dcterms:modified>
</cp:coreProperties>
</file>