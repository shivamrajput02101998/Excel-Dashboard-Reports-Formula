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88403e85a9eddbd6/Desktop/EXCAL FORMULA/"/>
    </mc:Choice>
  </mc:AlternateContent>
  <xr:revisionPtr revIDLastSave="0" documentId="8_{24C613A2-5F46-4EE4-8792-956EA45E3C2C}" xr6:coauthVersionLast="47" xr6:coauthVersionMax="47" xr10:uidLastSave="{00000000-0000-0000-0000-000000000000}"/>
  <bookViews>
    <workbookView xWindow="-108" yWindow="-108" windowWidth="23256" windowHeight="12576" xr2:uid="{BBAB99C1-BC73-43A5-8C81-F4C8A4A4700A}"/>
  </bookViews>
  <sheets>
    <sheet name="PIVOT INSERT SLICER" sheetId="1" r:id="rId1"/>
  </sheets>
  <definedNames>
    <definedName name="Slicer_Country">#N/A</definedName>
    <definedName name="Slicer_Region">#N/A</definedName>
  </definedNames>
  <calcPr calcId="191029"/>
  <pivotCaches>
    <pivotCache cacheId="171"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<sst xmlns="http://schemas.openxmlformats.org/spreadsheetml/2006/main" count="94" uniqueCount="64">
  <si>
    <t>Order Id.</t>
  </si>
  <si>
    <t>Order date</t>
  </si>
  <si>
    <t>Customer Name</t>
  </si>
  <si>
    <t>Country</t>
  </si>
  <si>
    <t>State</t>
  </si>
  <si>
    <t>City</t>
  </si>
  <si>
    <t>Region</t>
  </si>
  <si>
    <t>Sales</t>
  </si>
  <si>
    <t>profit</t>
  </si>
  <si>
    <t>KL-2024-5607031</t>
  </si>
  <si>
    <t>LANIBOWERS</t>
  </si>
  <si>
    <t>AUSTRIA</t>
  </si>
  <si>
    <t>VIENNA</t>
  </si>
  <si>
    <t>CENTRAL</t>
  </si>
  <si>
    <t>KL-2024-5607032</t>
  </si>
  <si>
    <t>LANA ADKINS</t>
  </si>
  <si>
    <t>KL-2024-5607033</t>
  </si>
  <si>
    <t>SOPOLINE NOEL</t>
  </si>
  <si>
    <t>KL-2024-5607034</t>
  </si>
  <si>
    <t>ABBOT HORTON</t>
  </si>
  <si>
    <t>GERMANY</t>
  </si>
  <si>
    <t>LOWER SAXONY</t>
  </si>
  <si>
    <t>LANGEN</t>
  </si>
  <si>
    <t>Sum of Sales</t>
  </si>
  <si>
    <t>Column Labels</t>
  </si>
  <si>
    <t>KL-2024-5607035</t>
  </si>
  <si>
    <t>HEDDA LIVINGSTON</t>
  </si>
  <si>
    <t>Row Labels</t>
  </si>
  <si>
    <t>Grand Total</t>
  </si>
  <si>
    <t>KL-2024-5607036</t>
  </si>
  <si>
    <t>HENRY HODGES</t>
  </si>
  <si>
    <t>KL-2024-5607037</t>
  </si>
  <si>
    <t>ARISTOTLE BARRETT</t>
  </si>
  <si>
    <t>INDIA</t>
  </si>
  <si>
    <t>MAHARASHTRA</t>
  </si>
  <si>
    <t>MUMBAI</t>
  </si>
  <si>
    <t>SOUTH</t>
  </si>
  <si>
    <t>KL-2024-5607038</t>
  </si>
  <si>
    <t>WENDY NEAL</t>
  </si>
  <si>
    <t>BIHAR</t>
  </si>
  <si>
    <t>PATNA</t>
  </si>
  <si>
    <t>KL-2024-5607039</t>
  </si>
  <si>
    <t>RAYMOND MCKENZIE</t>
  </si>
  <si>
    <t>SPAIN</t>
  </si>
  <si>
    <t>VALENCIANA</t>
  </si>
  <si>
    <t>GANDIA</t>
  </si>
  <si>
    <t>KL-2024-5607040</t>
  </si>
  <si>
    <t>ZEPHR HICKMAN</t>
  </si>
  <si>
    <t>DENMARK</t>
  </si>
  <si>
    <t>HOVEDSTADEN</t>
  </si>
  <si>
    <t>COPENHAGEN</t>
  </si>
  <si>
    <t>NORTH</t>
  </si>
  <si>
    <t>KL-2024-5607041</t>
  </si>
  <si>
    <t>GEORGIA KANE</t>
  </si>
  <si>
    <t>FRANCE</t>
  </si>
  <si>
    <t>ILE-DE-FRANCE</t>
  </si>
  <si>
    <t>VILLIERS-SUR-MARNE</t>
  </si>
  <si>
    <t>KL-2024-5607042</t>
  </si>
  <si>
    <t>STELLA DEJESUS</t>
  </si>
  <si>
    <t>BELGIUM</t>
  </si>
  <si>
    <t>FLEMISH BRABANT</t>
  </si>
  <si>
    <t>LEUVEN</t>
  </si>
  <si>
    <t>KL-2024-5607043</t>
  </si>
  <si>
    <t>DAHLIA 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</si>
</sst>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8"/>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2">
    <dxf>
      <fill>
        <patternFill>
          <bgColor theme="9" tint="-0.24994659260841701"/>
        </patternFill>
      </fill>
    </dxf>
    <dxf>
      <fill>
        <patternFill>
          <bgColor theme="5" tint="0.39994506668294322"/>
        </patternFill>
      </fill>
    </dxf>
  </dxfs>
  <tableStyles count="1" defaultTableStyle="TableStyleMedium2" defaultPivotStyle="PivotStyleLight16">
    <tableStyle name="MY SLICER" pivot="0" table="0" count="10" xr9:uid="{1F7FEE4D-062A-4C24-AB6D-71C03D5BCDF0}">
      <tableStyleElement type="wholeTable" dxfId="1"/>
      <tableStyleElement type="headerRow" dxfId="0"/>
    </tableStyle>
  </tableStyles>
  <extLst>
    <ext xmlns:x14="http://schemas.microsoft.com/office/spreadsheetml/2009/9/main" uri="{46F421CA-312F-682f-3DD2-61675219B42D}">
      <x14:dxfs count="8">
        <dxf>
          <fill>
            <patternFill>
              <bgColor theme="2" tint="-9.9948118533890809E-2"/>
            </patternFill>
          </fill>
        </dxf>
        <dxf>
          <fill>
            <patternFill>
              <bgColor rgb="FF00B0F0"/>
            </patternFill>
          </fill>
        </dxf>
        <dxf>
          <fill>
            <patternFill>
              <bgColor theme="9" tint="0.39994506668294322"/>
            </patternFill>
          </fill>
        </dxf>
        <dxf>
          <fill>
            <patternFill>
              <bgColor theme="8" tint="-0.499984740745262"/>
            </patternFill>
          </fill>
        </dxf>
        <dxf>
          <fill>
            <patternFill>
              <bgColor theme="4" tint="0.39994506668294322"/>
            </patternFill>
          </fill>
        </dxf>
        <dxf>
          <fill>
            <patternFill>
              <bgColor theme="7"/>
            </patternFill>
          </fill>
        </dxf>
        <dxf>
          <fill>
            <patternFill>
              <bgColor theme="6" tint="-0.24994659260841701"/>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13</xdr:col>
      <xdr:colOff>352424</xdr:colOff>
      <xdr:row>3</xdr:row>
      <xdr:rowOff>323850</xdr:rowOff>
    </xdr:from>
    <xdr:to>
      <xdr:col>16</xdr:col>
      <xdr:colOff>347662</xdr:colOff>
      <xdr:row>26</xdr:row>
      <xdr:rowOff>110490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36769819-9248-4D7E-BA42-DBDE639057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508604" y="887730"/>
              <a:ext cx="1869758" cy="429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142874</xdr:colOff>
      <xdr:row>0</xdr:row>
      <xdr:rowOff>76201</xdr:rowOff>
    </xdr:from>
    <xdr:to>
      <xdr:col>11</xdr:col>
      <xdr:colOff>781049</xdr:colOff>
      <xdr:row>3</xdr:row>
      <xdr:rowOff>45720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D56FC82-538B-4E91-A7BB-93CCC68483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26214" y="76201"/>
              <a:ext cx="2146935"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238125</xdr:colOff>
      <xdr:row>0</xdr:row>
      <xdr:rowOff>200025</xdr:rowOff>
    </xdr:from>
    <xdr:to>
      <xdr:col>14</xdr:col>
      <xdr:colOff>714375</xdr:colOff>
      <xdr:row>2</xdr:row>
      <xdr:rowOff>106680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0409FABF-90BB-415B-8C25-ADE81B171E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190345" y="200025"/>
              <a:ext cx="2167890" cy="401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INV\Downloads\Formula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51.724389467592" createdVersion="8" refreshedVersion="8" minRefreshableVersion="3" recordCount="13" xr:uid="{8EDFB79C-6CF6-4DD1-ABD6-E16D0E62FA32}">
  <cacheSource type="worksheet">
    <worksheetSource ref="A1:I14" sheet="PIVOT INSERT SLICER" r:id="rId2"/>
  </cacheSource>
  <cacheFields count="9">
    <cacheField name="Order Id." numFmtId="0">
      <sharedItems/>
    </cacheField>
    <cacheField name="Order date" numFmtId="14">
      <sharedItems containsSemiMixedTypes="0" containsNonDate="0" containsDate="1" containsString="0" minDate="2024-06-06T00:00:00" maxDate="2024-06-19T00:00:00"/>
    </cacheField>
    <cacheField name="Customer Name" numFmtId="0">
      <sharedItems/>
    </cacheField>
    <cacheField name="Country" numFmtId="0">
      <sharedItems count="7">
        <s v="AUSTRIA"/>
        <s v="GERMANY"/>
        <s v="INDIA"/>
        <s v="SPAIN"/>
        <s v="DENMARK"/>
        <s v="FRANCE"/>
        <s v="BELGIUM"/>
      </sharedItems>
    </cacheField>
    <cacheField name="State" numFmtId="0">
      <sharedItems count="8">
        <s v="VIENNA"/>
        <s v="LOWER SAXONY"/>
        <s v="MAHARASHTRA"/>
        <s v="BIHAR"/>
        <s v="VALENCIANA"/>
        <s v="HOVEDSTADEN"/>
        <s v="ILE-DE-FRANCE"/>
        <s v="FLEMISH BRABANT"/>
      </sharedItems>
    </cacheField>
    <cacheField name="City" numFmtId="0">
      <sharedItems/>
    </cacheField>
    <cacheField name="Region" numFmtId="0">
      <sharedItems count="3">
        <s v="CENTRAL"/>
        <s v="SOUTH"/>
        <s v="NORTH"/>
      </sharedItems>
    </cacheField>
    <cacheField name="Sales" numFmtId="0">
      <sharedItems containsSemiMixedTypes="0" containsString="0" containsNumber="1" containsInteger="1" minValue="1586" maxValue="8964"/>
    </cacheField>
    <cacheField name="profit" numFmtId="0">
      <sharedItems containsSemiMixedTypes="0" containsString="0" containsNumber="1" containsInteger="1" minValue="1564" maxValue="9865"/>
    </cacheField>
  </cacheFields>
  <extLst>
    <ext xmlns:x14="http://schemas.microsoft.com/office/spreadsheetml/2009/9/main" uri="{725AE2AE-9491-48be-B2B4-4EB974FC3084}">
      <x14:pivotCacheDefinition pivotCacheId="1664886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KL-2024-5607031"/>
    <d v="2024-06-06T00:00:00"/>
    <s v="LANIBOWERS"/>
    <x v="0"/>
    <x v="0"/>
    <s v="VIENNA"/>
    <x v="0"/>
    <n v="2934"/>
    <n v="1819"/>
  </r>
  <r>
    <s v="KL-2024-5607032"/>
    <d v="2024-06-07T00:00:00"/>
    <s v="LANA ADKINS"/>
    <x v="0"/>
    <x v="0"/>
    <s v="VIENNA"/>
    <x v="0"/>
    <n v="2234"/>
    <n v="1564"/>
  </r>
  <r>
    <s v="KL-2024-5607033"/>
    <d v="2024-06-08T00:00:00"/>
    <s v="SOPOLINE NOEL"/>
    <x v="0"/>
    <x v="0"/>
    <s v="VIENNA"/>
    <x v="0"/>
    <n v="4534"/>
    <n v="2453"/>
  </r>
  <r>
    <s v="KL-2024-5607034"/>
    <d v="2024-06-09T00:00:00"/>
    <s v="ABBOT HORTON"/>
    <x v="1"/>
    <x v="1"/>
    <s v="LANGEN"/>
    <x v="0"/>
    <n v="5646"/>
    <n v="7823"/>
  </r>
  <r>
    <s v="KL-2024-5607035"/>
    <d v="2024-06-10T00:00:00"/>
    <s v="HEDDA LIVINGSTON"/>
    <x v="1"/>
    <x v="1"/>
    <s v="LANGEN"/>
    <x v="0"/>
    <n v="5683"/>
    <n v="9865"/>
  </r>
  <r>
    <s v="KL-2024-5607036"/>
    <d v="2024-06-11T00:00:00"/>
    <s v="HENRY HODGES"/>
    <x v="1"/>
    <x v="1"/>
    <s v="LANGEN"/>
    <x v="0"/>
    <n v="5458"/>
    <n v="2456"/>
  </r>
  <r>
    <s v="KL-2024-5607037"/>
    <d v="2024-06-12T00:00:00"/>
    <s v="ARISTOTLE BARRETT"/>
    <x v="2"/>
    <x v="2"/>
    <s v="MUMBAI"/>
    <x v="1"/>
    <n v="8964"/>
    <n v="3256"/>
  </r>
  <r>
    <s v="KL-2024-5607038"/>
    <d v="2024-06-13T00:00:00"/>
    <s v="WENDY NEAL"/>
    <x v="2"/>
    <x v="3"/>
    <s v="PATNA"/>
    <x v="1"/>
    <n v="2235"/>
    <n v="2463"/>
  </r>
  <r>
    <s v="KL-2024-5607039"/>
    <d v="2024-06-14T00:00:00"/>
    <s v="RAYMOND MCKENZIE"/>
    <x v="3"/>
    <x v="4"/>
    <s v="GANDIA"/>
    <x v="1"/>
    <n v="5656"/>
    <n v="2395"/>
  </r>
  <r>
    <s v="KL-2024-5607040"/>
    <d v="2024-06-15T00:00:00"/>
    <s v="ZEPHR HICKMAN"/>
    <x v="4"/>
    <x v="5"/>
    <s v="COPENHAGEN"/>
    <x v="2"/>
    <n v="5656"/>
    <n v="2365"/>
  </r>
  <r>
    <s v="KL-2024-5607041"/>
    <d v="2024-06-16T00:00:00"/>
    <s v="GEORGIA KANE"/>
    <x v="5"/>
    <x v="6"/>
    <s v="VILLIERS-SUR-MARNE"/>
    <x v="0"/>
    <n v="6656"/>
    <n v="2563"/>
  </r>
  <r>
    <s v="KL-2024-5607042"/>
    <d v="2024-06-17T00:00:00"/>
    <s v="STELLA DEJESUS"/>
    <x v="6"/>
    <x v="7"/>
    <s v="LEUVEN"/>
    <x v="0"/>
    <n v="7893"/>
    <n v="2563"/>
  </r>
  <r>
    <s v="KL-2024-5607043"/>
    <d v="2024-06-18T00:00:00"/>
    <s v="DAHLIA PORTER"/>
    <x v="6"/>
    <x v="7"/>
    <s v="LEUVEN"/>
    <x v="0"/>
    <n v="1586"/>
    <n v="2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CBD7D7-52E8-4C34-9E9A-92219E766FC4}" name="PivotTable9" cacheId="17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0:M13" firstHeaderRow="1" firstDataRow="2" firstDataCol="1"/>
  <pivotFields count="9">
    <pivotField showAll="0"/>
    <pivotField numFmtId="14" showAll="0"/>
    <pivotField showAll="0"/>
    <pivotField axis="axisRow" showAll="0">
      <items count="8">
        <item h="1" x="0"/>
        <item h="1" x="6"/>
        <item h="1" x="4"/>
        <item h="1" x="5"/>
        <item x="1"/>
        <item h="1" x="2"/>
        <item h="1" x="3"/>
        <item t="default"/>
      </items>
    </pivotField>
    <pivotField showAll="0">
      <items count="9">
        <item x="3"/>
        <item h="1" x="7"/>
        <item h="1" x="5"/>
        <item h="1" x="6"/>
        <item h="1" x="1"/>
        <item x="2"/>
        <item h="1" x="4"/>
        <item h="1" x="0"/>
        <item t="default"/>
      </items>
    </pivotField>
    <pivotField showAll="0"/>
    <pivotField axis="axisCol" showAll="0">
      <items count="4">
        <item x="0"/>
        <item h="1" x="2"/>
        <item h="1" x="1"/>
        <item t="default"/>
      </items>
    </pivotField>
    <pivotField dataField="1" showAll="0"/>
    <pivotField showAll="0"/>
  </pivotFields>
  <rowFields count="1">
    <field x="3"/>
  </rowFields>
  <rowItems count="2">
    <i>
      <x v="4"/>
    </i>
    <i t="grand">
      <x/>
    </i>
  </rowItems>
  <colFields count="1">
    <field x="6"/>
  </colFields>
  <colItems count="2">
    <i>
      <x/>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049C89B-6858-44F8-A406-C0397CB65194}" sourceName="Country">
  <pivotTables>
    <pivotTable tabId="1" name="PivotTable9"/>
  </pivotTables>
  <data>
    <tabular pivotCacheId="1664886419">
      <items count="7">
        <i x="0"/>
        <i x="6"/>
        <i x="5"/>
        <i x="1" s="1"/>
        <i x="4" nd="1"/>
        <i x="2"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3EE158-429A-4B1B-8C29-01B6DAA5DA02}" sourceName="Region">
  <pivotTables>
    <pivotTable tabId="1" name="PivotTable9"/>
  </pivotTables>
  <data>
    <tabular pivotCacheId="1664886419">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B9F3A1C-5D98-4C28-B6F2-2F86681D5E42}" cache="Slicer_Country" caption="Country" style="MY SLICER" rowHeight="241300"/>
  <slicer name="Region" xr10:uid="{D3A67F49-0F4F-478D-BD3C-608A93D14A72}" cache="Slicer_Region" caption="Region" columnCount="3" rowHeight="241300"/>
  <slicer name="Region 1" xr10:uid="{C967552F-E0E6-41D9-ADE5-E4E31ABD4636}" cache="Slicer_Region" caption="Region" columnCount="3"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57C0E-1B6C-45D0-BD82-9205059763CE}">
  <dimension ref="A1:M14"/>
  <sheetViews>
    <sheetView tabSelected="1" topLeftCell="D1" workbookViewId="0">
      <selection activeCell="F24" sqref="F24"/>
    </sheetView>
  </sheetViews>
  <sheetFormatPr defaultRowHeight="14.4" x14ac:dyDescent="0.3"/>
  <cols>
    <col min="1" max="1" width="17.5546875" bestFit="1" customWidth="1"/>
    <col min="2" max="2" width="17" bestFit="1" customWidth="1"/>
    <col min="3" max="3" width="31.6640625" customWidth="1"/>
    <col min="4" max="4" width="16.5546875" customWidth="1"/>
    <col min="5" max="5" width="23.109375" customWidth="1"/>
    <col min="6" max="6" width="25.44140625" customWidth="1"/>
    <col min="7" max="7" width="13.44140625" customWidth="1"/>
    <col min="8" max="8" width="10.6640625" customWidth="1"/>
    <col min="9" max="9" width="12" customWidth="1"/>
    <col min="11" max="11" width="13.109375" bestFit="1" customWidth="1"/>
    <col min="12" max="12" width="14" customWidth="1"/>
    <col min="13" max="13" width="17.5546875" customWidth="1"/>
    <col min="14" max="14" width="7.109375" bestFit="1" customWidth="1"/>
    <col min="15" max="15" width="11.33203125" bestFit="1" customWidth="1"/>
  </cols>
  <sheetData>
    <row r="1" spans="1:13" ht="23.4" x14ac:dyDescent="0.3">
      <c r="A1" s="1" t="s">
        <v>0</v>
      </c>
      <c r="B1" s="1" t="s">
        <v>1</v>
      </c>
      <c r="C1" s="1" t="s">
        <v>2</v>
      </c>
      <c r="D1" s="1" t="s">
        <v>3</v>
      </c>
      <c r="E1" s="1" t="s">
        <v>4</v>
      </c>
      <c r="F1" s="1" t="s">
        <v>5</v>
      </c>
      <c r="G1" s="1" t="s">
        <v>6</v>
      </c>
      <c r="H1" s="1" t="s">
        <v>7</v>
      </c>
      <c r="I1" s="1" t="s">
        <v>8</v>
      </c>
    </row>
    <row r="2" spans="1:13" ht="15.6" x14ac:dyDescent="0.3">
      <c r="A2" s="2" t="s">
        <v>9</v>
      </c>
      <c r="B2" s="3">
        <v>45449</v>
      </c>
      <c r="C2" s="2" t="s">
        <v>10</v>
      </c>
      <c r="D2" s="2" t="s">
        <v>11</v>
      </c>
      <c r="E2" s="2" t="s">
        <v>12</v>
      </c>
      <c r="F2" s="2" t="s">
        <v>12</v>
      </c>
      <c r="G2" s="2" t="s">
        <v>13</v>
      </c>
      <c r="H2" s="2">
        <v>2934</v>
      </c>
      <c r="I2" s="2">
        <v>1819</v>
      </c>
    </row>
    <row r="3" spans="1:13" ht="15.6" x14ac:dyDescent="0.3">
      <c r="A3" s="2" t="s">
        <v>14</v>
      </c>
      <c r="B3" s="3">
        <v>45450</v>
      </c>
      <c r="C3" s="2" t="s">
        <v>15</v>
      </c>
      <c r="D3" s="2" t="s">
        <v>11</v>
      </c>
      <c r="E3" s="2" t="s">
        <v>12</v>
      </c>
      <c r="F3" s="2" t="s">
        <v>12</v>
      </c>
      <c r="G3" s="2" t="s">
        <v>13</v>
      </c>
      <c r="H3" s="2">
        <v>2234</v>
      </c>
      <c r="I3" s="2">
        <v>1564</v>
      </c>
    </row>
    <row r="4" spans="1:13" ht="15.6" x14ac:dyDescent="0.3">
      <c r="A4" s="2" t="s">
        <v>16</v>
      </c>
      <c r="B4" s="3">
        <v>45451</v>
      </c>
      <c r="C4" s="2" t="s">
        <v>17</v>
      </c>
      <c r="D4" s="2" t="s">
        <v>11</v>
      </c>
      <c r="E4" s="2" t="s">
        <v>12</v>
      </c>
      <c r="F4" s="2" t="s">
        <v>12</v>
      </c>
      <c r="G4" s="2" t="s">
        <v>13</v>
      </c>
      <c r="H4" s="2">
        <v>4534</v>
      </c>
      <c r="I4" s="2">
        <v>2453</v>
      </c>
    </row>
    <row r="5" spans="1:13" ht="15.6" x14ac:dyDescent="0.3">
      <c r="A5" s="2" t="s">
        <v>18</v>
      </c>
      <c r="B5" s="3">
        <v>45452</v>
      </c>
      <c r="C5" s="2" t="s">
        <v>19</v>
      </c>
      <c r="D5" s="2" t="s">
        <v>20</v>
      </c>
      <c r="E5" s="2" t="s">
        <v>21</v>
      </c>
      <c r="F5" s="2" t="s">
        <v>22</v>
      </c>
      <c r="G5" s="2" t="s">
        <v>13</v>
      </c>
      <c r="H5" s="2">
        <v>5646</v>
      </c>
      <c r="I5" s="2">
        <v>7823</v>
      </c>
    </row>
    <row r="6" spans="1:13" ht="15.6" x14ac:dyDescent="0.3">
      <c r="A6" s="2" t="s">
        <v>25</v>
      </c>
      <c r="B6" s="3">
        <v>45453</v>
      </c>
      <c r="C6" s="2" t="s">
        <v>26</v>
      </c>
      <c r="D6" s="2" t="s">
        <v>20</v>
      </c>
      <c r="E6" s="2" t="s">
        <v>21</v>
      </c>
      <c r="F6" s="2" t="s">
        <v>22</v>
      </c>
      <c r="G6" s="2" t="s">
        <v>13</v>
      </c>
      <c r="H6" s="2">
        <v>5683</v>
      </c>
      <c r="I6" s="2">
        <v>9865</v>
      </c>
    </row>
    <row r="7" spans="1:13" ht="15.6" x14ac:dyDescent="0.3">
      <c r="A7" s="2" t="s">
        <v>29</v>
      </c>
      <c r="B7" s="3">
        <v>45454</v>
      </c>
      <c r="C7" s="2" t="s">
        <v>30</v>
      </c>
      <c r="D7" s="2" t="s">
        <v>20</v>
      </c>
      <c r="E7" s="2" t="s">
        <v>21</v>
      </c>
      <c r="F7" s="2" t="s">
        <v>22</v>
      </c>
      <c r="G7" s="2" t="s">
        <v>13</v>
      </c>
      <c r="H7" s="2">
        <v>5458</v>
      </c>
      <c r="I7" s="2">
        <v>2456</v>
      </c>
    </row>
    <row r="8" spans="1:13" ht="15.6" x14ac:dyDescent="0.3">
      <c r="A8" s="2" t="s">
        <v>31</v>
      </c>
      <c r="B8" s="3">
        <v>45455</v>
      </c>
      <c r="C8" s="2" t="s">
        <v>32</v>
      </c>
      <c r="D8" s="2" t="s">
        <v>33</v>
      </c>
      <c r="E8" s="2" t="s">
        <v>34</v>
      </c>
      <c r="F8" s="2" t="s">
        <v>35</v>
      </c>
      <c r="G8" s="2" t="s">
        <v>36</v>
      </c>
      <c r="H8" s="2">
        <v>8964</v>
      </c>
      <c r="I8" s="2">
        <v>3256</v>
      </c>
    </row>
    <row r="9" spans="1:13" ht="15.6" x14ac:dyDescent="0.3">
      <c r="A9" s="2" t="s">
        <v>37</v>
      </c>
      <c r="B9" s="3">
        <v>45456</v>
      </c>
      <c r="C9" s="2" t="s">
        <v>38</v>
      </c>
      <c r="D9" s="2" t="s">
        <v>33</v>
      </c>
      <c r="E9" s="2" t="s">
        <v>39</v>
      </c>
      <c r="F9" s="2" t="s">
        <v>40</v>
      </c>
      <c r="G9" s="2" t="s">
        <v>36</v>
      </c>
      <c r="H9" s="2">
        <v>2235</v>
      </c>
      <c r="I9" s="2">
        <v>2463</v>
      </c>
    </row>
    <row r="10" spans="1:13" ht="15.6" x14ac:dyDescent="0.3">
      <c r="A10" s="2" t="s">
        <v>41</v>
      </c>
      <c r="B10" s="3">
        <v>45457</v>
      </c>
      <c r="C10" s="2" t="s">
        <v>42</v>
      </c>
      <c r="D10" s="2" t="s">
        <v>43</v>
      </c>
      <c r="E10" s="2" t="s">
        <v>44</v>
      </c>
      <c r="F10" s="2" t="s">
        <v>45</v>
      </c>
      <c r="G10" s="2" t="s">
        <v>36</v>
      </c>
      <c r="H10" s="2">
        <v>5656</v>
      </c>
      <c r="I10" s="2">
        <v>2395</v>
      </c>
      <c r="K10" s="5" t="s">
        <v>23</v>
      </c>
      <c r="L10" s="5" t="s">
        <v>24</v>
      </c>
    </row>
    <row r="11" spans="1:13" ht="15.6" x14ac:dyDescent="0.3">
      <c r="A11" s="2" t="s">
        <v>46</v>
      </c>
      <c r="B11" s="3">
        <v>45458</v>
      </c>
      <c r="C11" s="2" t="s">
        <v>47</v>
      </c>
      <c r="D11" s="2" t="s">
        <v>48</v>
      </c>
      <c r="E11" s="2" t="s">
        <v>49</v>
      </c>
      <c r="F11" s="2" t="s">
        <v>50</v>
      </c>
      <c r="G11" s="2" t="s">
        <v>51</v>
      </c>
      <c r="H11" s="2">
        <v>5656</v>
      </c>
      <c r="I11" s="2">
        <v>2365</v>
      </c>
      <c r="K11" s="5" t="s">
        <v>27</v>
      </c>
      <c r="L11" t="s">
        <v>13</v>
      </c>
      <c r="M11" t="s">
        <v>28</v>
      </c>
    </row>
    <row r="12" spans="1:13" ht="15.6" x14ac:dyDescent="0.3">
      <c r="A12" s="2" t="s">
        <v>52</v>
      </c>
      <c r="B12" s="3">
        <v>45459</v>
      </c>
      <c r="C12" s="2" t="s">
        <v>53</v>
      </c>
      <c r="D12" s="2" t="s">
        <v>54</v>
      </c>
      <c r="E12" s="2" t="s">
        <v>55</v>
      </c>
      <c r="F12" s="2" t="s">
        <v>56</v>
      </c>
      <c r="G12" s="2" t="s">
        <v>13</v>
      </c>
      <c r="H12" s="2">
        <v>6656</v>
      </c>
      <c r="I12" s="2">
        <v>2563</v>
      </c>
      <c r="K12" s="4" t="s">
        <v>20</v>
      </c>
      <c r="L12" s="6">
        <v>16787</v>
      </c>
      <c r="M12" s="6">
        <v>16787</v>
      </c>
    </row>
    <row r="13" spans="1:13" ht="15.6" x14ac:dyDescent="0.3">
      <c r="A13" s="2" t="s">
        <v>57</v>
      </c>
      <c r="B13" s="3">
        <v>45460</v>
      </c>
      <c r="C13" s="2" t="s">
        <v>58</v>
      </c>
      <c r="D13" s="2" t="s">
        <v>59</v>
      </c>
      <c r="E13" s="2" t="s">
        <v>60</v>
      </c>
      <c r="F13" s="2" t="s">
        <v>61</v>
      </c>
      <c r="G13" s="2" t="s">
        <v>13</v>
      </c>
      <c r="H13" s="2">
        <v>7893</v>
      </c>
      <c r="I13" s="2">
        <v>2563</v>
      </c>
      <c r="K13" s="4" t="s">
        <v>28</v>
      </c>
      <c r="L13" s="6">
        <v>16787</v>
      </c>
      <c r="M13" s="6">
        <v>16787</v>
      </c>
    </row>
    <row r="14" spans="1:13" ht="15.6" x14ac:dyDescent="0.3">
      <c r="A14" s="2" t="s">
        <v>62</v>
      </c>
      <c r="B14" s="3">
        <v>45461</v>
      </c>
      <c r="C14" s="2" t="s">
        <v>63</v>
      </c>
      <c r="D14" s="2" t="s">
        <v>59</v>
      </c>
      <c r="E14" s="2" t="s">
        <v>60</v>
      </c>
      <c r="F14" s="2" t="s">
        <v>61</v>
      </c>
      <c r="G14" s="2" t="s">
        <v>13</v>
      </c>
      <c r="H14" s="2">
        <v>1586</v>
      </c>
      <c r="I14" s="2">
        <v>2556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INSERT 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kumar</dc:creator>
  <cp:lastModifiedBy>shivam kumar</cp:lastModifiedBy>
  <dcterms:created xsi:type="dcterms:W3CDTF">2025-06-05T14:29:20Z</dcterms:created>
  <dcterms:modified xsi:type="dcterms:W3CDTF">2025-06-05T14:31:18Z</dcterms:modified>
</cp:coreProperties>
</file>