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403e85a9eddbd6/Desktop/EXCAL FORMULA/"/>
    </mc:Choice>
  </mc:AlternateContent>
  <xr:revisionPtr revIDLastSave="0" documentId="8_{4823C19B-4EC1-4757-9CED-E0EB60D655F7}" xr6:coauthVersionLast="47" xr6:coauthVersionMax="47" xr10:uidLastSave="{00000000-0000-0000-0000-000000000000}"/>
  <bookViews>
    <workbookView xWindow="-108" yWindow="-108" windowWidth="23256" windowHeight="12576" xr2:uid="{9FDB1A0B-A64F-4DD5-B769-8B2FE42C049F}"/>
  </bookViews>
  <sheets>
    <sheet name="COUNT &amp; COUNTA &amp; ......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1" l="1"/>
  <c r="E16" i="1"/>
  <c r="D16" i="1"/>
  <c r="C16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<sst xmlns="http://schemas.openxmlformats.org/spreadsheetml/2006/main" count="56" uniqueCount="37">
  <si>
    <t>Invoice No.</t>
  </si>
  <si>
    <t>Country</t>
  </si>
  <si>
    <t>Product</t>
  </si>
  <si>
    <t>Qty.</t>
  </si>
  <si>
    <t>Amount</t>
  </si>
  <si>
    <t>Proft 20%</t>
  </si>
  <si>
    <t>FORMULA</t>
  </si>
  <si>
    <t>ENTRY</t>
  </si>
  <si>
    <t>IN0002</t>
  </si>
  <si>
    <t>UK</t>
  </si>
  <si>
    <t>TV</t>
  </si>
  <si>
    <t>COUNT</t>
  </si>
  <si>
    <t>IN0003</t>
  </si>
  <si>
    <t>ANTIVIRUS</t>
  </si>
  <si>
    <t>COUNTA</t>
  </si>
  <si>
    <t>IN0004</t>
  </si>
  <si>
    <t>LAPTOP</t>
  </si>
  <si>
    <t>COUNTBLANK</t>
  </si>
  <si>
    <t>IN0005</t>
  </si>
  <si>
    <t>USA</t>
  </si>
  <si>
    <t>MOBILE</t>
  </si>
  <si>
    <t>COUNTIF</t>
  </si>
  <si>
    <t>IN0006</t>
  </si>
  <si>
    <t>TABLET</t>
  </si>
  <si>
    <t>COUNTIFS</t>
  </si>
  <si>
    <t>IN0007</t>
  </si>
  <si>
    <t>INDIA</t>
  </si>
  <si>
    <t>MS Office</t>
  </si>
  <si>
    <t>IN0008</t>
  </si>
  <si>
    <t>IN0009</t>
  </si>
  <si>
    <t>IN0010</t>
  </si>
  <si>
    <t>IN0011</t>
  </si>
  <si>
    <t>IN0012</t>
  </si>
  <si>
    <t>IN0013</t>
  </si>
  <si>
    <t>IN0014</t>
  </si>
  <si>
    <t>IN0015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</si>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</sst>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 * #,##0.00_ ;_ * \-#,##0.00_ ;_ * &quot;-&quot;??_ ;_ @_ "/>
    <numFmt numFmtId="164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4" borderId="1" xfId="1" applyNumberFormat="1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A244E285-5729-48D4-B94E-2754471D418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57ADC-8C34-474D-AA0C-B2EB60C3FD8B}">
  <dimension ref="A1:I16"/>
  <sheetViews>
    <sheetView tabSelected="1" workbookViewId="0">
      <selection activeCell="I16" sqref="I16"/>
    </sheetView>
  </sheetViews>
  <sheetFormatPr defaultRowHeight="14.4" x14ac:dyDescent="0.3"/>
  <cols>
    <col min="1" max="1" width="18.109375" customWidth="1"/>
    <col min="2" max="2" width="16.33203125" customWidth="1"/>
    <col min="3" max="3" width="15.88671875" customWidth="1"/>
    <col min="4" max="4" width="14" customWidth="1"/>
    <col min="5" max="5" width="15" customWidth="1"/>
    <col min="6" max="6" width="16.6640625" customWidth="1"/>
    <col min="7" max="7" width="3.109375" customWidth="1"/>
    <col min="8" max="8" width="22" customWidth="1"/>
    <col min="9" max="9" width="18" customWidth="1"/>
  </cols>
  <sheetData>
    <row r="1" spans="1:9" ht="23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  <c r="I1" s="2" t="s">
        <v>7</v>
      </c>
    </row>
    <row r="2" spans="1:9" ht="23.4" x14ac:dyDescent="0.3">
      <c r="A2" s="3" t="s">
        <v>8</v>
      </c>
      <c r="B2" s="3" t="s">
        <v>9</v>
      </c>
      <c r="C2" s="3" t="s">
        <v>10</v>
      </c>
      <c r="D2" s="3">
        <v>6</v>
      </c>
      <c r="E2" s="4">
        <v>450000</v>
      </c>
      <c r="F2" s="5">
        <v>15000</v>
      </c>
      <c r="H2" s="6" t="s">
        <v>11</v>
      </c>
      <c r="I2" s="7">
        <f>COUNT(D2:D15)</f>
        <v>11</v>
      </c>
    </row>
    <row r="3" spans="1:9" ht="23.4" x14ac:dyDescent="0.3">
      <c r="A3" s="3" t="s">
        <v>12</v>
      </c>
      <c r="B3" s="3" t="s">
        <v>9</v>
      </c>
      <c r="C3" s="3" t="s">
        <v>13</v>
      </c>
      <c r="D3" s="3">
        <v>479</v>
      </c>
      <c r="E3" s="4">
        <v>335300</v>
      </c>
      <c r="F3" s="4">
        <v>140</v>
      </c>
      <c r="H3" s="6" t="s">
        <v>14</v>
      </c>
      <c r="I3" s="7">
        <f>COUNTA(C2:C15)</f>
        <v>14</v>
      </c>
    </row>
    <row r="4" spans="1:9" ht="23.4" x14ac:dyDescent="0.3">
      <c r="A4" s="3" t="s">
        <v>15</v>
      </c>
      <c r="B4" s="3" t="s">
        <v>9</v>
      </c>
      <c r="C4" s="3" t="s">
        <v>16</v>
      </c>
      <c r="D4" s="3">
        <v>45</v>
      </c>
      <c r="E4" s="4">
        <v>1575000</v>
      </c>
      <c r="F4" s="4">
        <v>7000</v>
      </c>
      <c r="H4" s="6" t="s">
        <v>17</v>
      </c>
      <c r="I4" s="7">
        <f>COUNTBLANK(D2:D15)</f>
        <v>3</v>
      </c>
    </row>
    <row r="5" spans="1:9" ht="23.4" x14ac:dyDescent="0.3">
      <c r="A5" s="3" t="s">
        <v>18</v>
      </c>
      <c r="B5" s="3" t="s">
        <v>19</v>
      </c>
      <c r="C5" s="3" t="s">
        <v>20</v>
      </c>
      <c r="D5" s="3">
        <v>32</v>
      </c>
      <c r="E5" s="4">
        <v>320000</v>
      </c>
      <c r="F5" s="4">
        <v>2000</v>
      </c>
      <c r="H5" s="6" t="s">
        <v>21</v>
      </c>
      <c r="I5" s="7">
        <f>COUNTIF(C2:C15,C2)</f>
        <v>3</v>
      </c>
    </row>
    <row r="6" spans="1:9" ht="23.4" x14ac:dyDescent="0.3">
      <c r="A6" s="3" t="s">
        <v>22</v>
      </c>
      <c r="B6" s="3" t="s">
        <v>19</v>
      </c>
      <c r="C6" s="3" t="s">
        <v>23</v>
      </c>
      <c r="D6" s="3">
        <v>89</v>
      </c>
      <c r="E6" s="4">
        <v>1335000</v>
      </c>
      <c r="F6" s="4">
        <v>3000</v>
      </c>
      <c r="H6" s="6" t="s">
        <v>24</v>
      </c>
      <c r="I6" s="7">
        <f>COUNTIFS(C2:C15,C2,B2:B15,B2)</f>
        <v>2</v>
      </c>
    </row>
    <row r="7" spans="1:9" ht="20.25" customHeight="1" x14ac:dyDescent="0.3">
      <c r="A7" s="3" t="s">
        <v>25</v>
      </c>
      <c r="B7" s="3" t="s">
        <v>26</v>
      </c>
      <c r="C7" s="3" t="s">
        <v>27</v>
      </c>
      <c r="D7" s="3"/>
      <c r="E7" s="4">
        <v>570000</v>
      </c>
      <c r="F7" s="4">
        <v>3000</v>
      </c>
    </row>
    <row r="8" spans="1:9" ht="20.25" customHeight="1" x14ac:dyDescent="0.3">
      <c r="A8" s="3" t="s">
        <v>28</v>
      </c>
      <c r="B8" s="3" t="s">
        <v>9</v>
      </c>
      <c r="C8" s="3" t="s">
        <v>10</v>
      </c>
      <c r="D8" s="3"/>
      <c r="E8" s="4">
        <v>300000</v>
      </c>
      <c r="F8" s="4">
        <v>15000</v>
      </c>
    </row>
    <row r="9" spans="1:9" ht="20.25" customHeight="1" x14ac:dyDescent="0.3">
      <c r="A9" s="3" t="s">
        <v>29</v>
      </c>
      <c r="B9" s="3" t="s">
        <v>26</v>
      </c>
      <c r="C9" s="3" t="s">
        <v>16</v>
      </c>
      <c r="D9" s="3"/>
      <c r="E9" s="4">
        <v>1400000</v>
      </c>
      <c r="F9" s="4">
        <v>7000</v>
      </c>
    </row>
    <row r="10" spans="1:9" ht="20.25" customHeight="1" x14ac:dyDescent="0.3">
      <c r="A10" s="3" t="s">
        <v>30</v>
      </c>
      <c r="B10" s="3" t="s">
        <v>26</v>
      </c>
      <c r="C10" s="3" t="s">
        <v>27</v>
      </c>
      <c r="D10" s="3">
        <v>38</v>
      </c>
      <c r="E10" s="4">
        <v>570000</v>
      </c>
      <c r="F10" s="4">
        <v>3000</v>
      </c>
    </row>
    <row r="11" spans="1:9" ht="20.25" customHeight="1" x14ac:dyDescent="0.3">
      <c r="A11" s="3" t="s">
        <v>31</v>
      </c>
      <c r="B11" s="3" t="s">
        <v>19</v>
      </c>
      <c r="C11" s="3" t="s">
        <v>23</v>
      </c>
      <c r="D11" s="3">
        <v>61</v>
      </c>
      <c r="E11" s="4">
        <v>915000</v>
      </c>
      <c r="F11" s="4">
        <v>3000</v>
      </c>
    </row>
    <row r="12" spans="1:9" ht="20.25" customHeight="1" x14ac:dyDescent="0.3">
      <c r="A12" s="3" t="s">
        <v>32</v>
      </c>
      <c r="B12" s="3" t="s">
        <v>19</v>
      </c>
      <c r="C12" s="3" t="s">
        <v>16</v>
      </c>
      <c r="D12" s="3">
        <v>49</v>
      </c>
      <c r="E12" s="4">
        <v>1715000</v>
      </c>
      <c r="F12" s="4">
        <v>7000</v>
      </c>
    </row>
    <row r="13" spans="1:9" ht="20.25" customHeight="1" x14ac:dyDescent="0.3">
      <c r="A13" s="3" t="s">
        <v>33</v>
      </c>
      <c r="B13" s="3" t="s">
        <v>26</v>
      </c>
      <c r="C13" s="3" t="s">
        <v>13</v>
      </c>
      <c r="D13" s="3">
        <v>33</v>
      </c>
      <c r="E13" s="4">
        <v>23100</v>
      </c>
      <c r="F13" s="4">
        <v>140</v>
      </c>
    </row>
    <row r="14" spans="1:9" ht="20.25" customHeight="1" x14ac:dyDescent="0.3">
      <c r="A14" s="3" t="s">
        <v>34</v>
      </c>
      <c r="B14" s="3" t="s">
        <v>26</v>
      </c>
      <c r="C14" s="3" t="s">
        <v>23</v>
      </c>
      <c r="D14" s="3">
        <v>52</v>
      </c>
      <c r="E14" s="4">
        <v>780000</v>
      </c>
      <c r="F14" s="4">
        <v>3000</v>
      </c>
    </row>
    <row r="15" spans="1:9" ht="20.25" customHeight="1" x14ac:dyDescent="0.3">
      <c r="A15" s="3" t="s">
        <v>35</v>
      </c>
      <c r="B15" s="3" t="s">
        <v>26</v>
      </c>
      <c r="C15" s="3" t="s">
        <v>10</v>
      </c>
      <c r="D15" s="3">
        <v>4</v>
      </c>
      <c r="E15" s="4">
        <v>300000</v>
      </c>
      <c r="F15" s="4">
        <v>15000</v>
      </c>
    </row>
    <row r="16" spans="1:9" ht="23.4" x14ac:dyDescent="0.3">
      <c r="A16" s="8" t="s">
        <v>36</v>
      </c>
      <c r="B16" s="8"/>
      <c r="C16" s="9">
        <f>COUNTA(C2:C15)</f>
        <v>14</v>
      </c>
      <c r="D16" s="9">
        <f>SUM(D2:D15)</f>
        <v>888</v>
      </c>
      <c r="E16" s="10">
        <f>SUM(E2:E15)</f>
        <v>10588400</v>
      </c>
      <c r="F16" s="10">
        <f>SUM(F2:F15)</f>
        <v>83280</v>
      </c>
    </row>
  </sheetData>
  <mergeCells count="1"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&amp; COUNTA &amp; .......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</dc:creator>
  <cp:lastModifiedBy>shivam kumar</cp:lastModifiedBy>
  <dcterms:created xsi:type="dcterms:W3CDTF">2025-06-04T15:59:45Z</dcterms:created>
  <dcterms:modified xsi:type="dcterms:W3CDTF">2025-06-04T16:03:09Z</dcterms:modified>
</cp:coreProperties>
</file>