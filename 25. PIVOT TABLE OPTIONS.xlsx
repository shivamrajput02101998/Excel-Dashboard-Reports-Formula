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991D4C6B-3C2A-452D-AB57-568AA8912E83}" xr6:coauthVersionLast="47" xr6:coauthVersionMax="47" xr10:uidLastSave="{00000000-0000-0000-0000-000000000000}"/>
  <bookViews>
    <workbookView xWindow="-108" yWindow="-108" windowWidth="23256" windowHeight="12576" xr2:uid="{DF379FFE-958E-43F4-829D-80CB06B674A4}"/>
  </bookViews>
  <sheets>
    <sheet name="PIVOT TABLE OPTIONS" sheetId="1" r:id="rId1"/>
  </sheets>
  <calcPr calcId="191029"/>
  <pivotCaches>
    <pivotCache cacheId="175" r:id="rId2"/>
    <pivotCache cacheId="17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<sst xmlns="http://schemas.openxmlformats.org/spreadsheetml/2006/main" count="145" uniqueCount="89">
  <si>
    <t>Order Id.</t>
  </si>
  <si>
    <t>Order date</t>
  </si>
  <si>
    <t>Customer Name</t>
  </si>
  <si>
    <t>Country</t>
  </si>
  <si>
    <t>State</t>
  </si>
  <si>
    <t>City</t>
  </si>
  <si>
    <t>Region</t>
  </si>
  <si>
    <t>Quantity</t>
  </si>
  <si>
    <t>Sales</t>
  </si>
  <si>
    <t>profit</t>
  </si>
  <si>
    <t>(All)</t>
  </si>
  <si>
    <t>KL-2024-5607031</t>
  </si>
  <si>
    <t>LANIBOWERS</t>
  </si>
  <si>
    <t>AUSTRIA</t>
  </si>
  <si>
    <t>VIENNA</t>
  </si>
  <si>
    <t>CENTRAL</t>
  </si>
  <si>
    <t>KL-2024-5607032</t>
  </si>
  <si>
    <t>LANA ADKINS</t>
  </si>
  <si>
    <t>KL-2024-5607033</t>
  </si>
  <si>
    <t>SOPOLINE NOEL</t>
  </si>
  <si>
    <t>Sum of Sales</t>
  </si>
  <si>
    <t>KL-2024-5607034</t>
  </si>
  <si>
    <t>ABBOT HORTON</t>
  </si>
  <si>
    <t>GERMANY</t>
  </si>
  <si>
    <t>LOWER SAXONY</t>
  </si>
  <si>
    <t>LANGEN</t>
  </si>
  <si>
    <t>Quarters (Order date)</t>
  </si>
  <si>
    <t>Months (Order date)</t>
  </si>
  <si>
    <t>Days (Order date)</t>
  </si>
  <si>
    <t>Total</t>
  </si>
  <si>
    <t>KL-2024-5607035</t>
  </si>
  <si>
    <t>HEDDA LIVINGSTON</t>
  </si>
  <si>
    <t>Qtr1</t>
  </si>
  <si>
    <t>Jan</t>
  </si>
  <si>
    <t>KL-2024-5607036</t>
  </si>
  <si>
    <t>HENRY HODGES</t>
  </si>
  <si>
    <t>Feb</t>
  </si>
  <si>
    <t>KL-2024-5607037</t>
  </si>
  <si>
    <t>ARISTOTLE BARRETT</t>
  </si>
  <si>
    <t>INDIA</t>
  </si>
  <si>
    <t>MAHARASHTRA</t>
  </si>
  <si>
    <t>MUMBAI</t>
  </si>
  <si>
    <t>SOUTH</t>
  </si>
  <si>
    <t>Mar</t>
  </si>
  <si>
    <t>KL-2024-5607038</t>
  </si>
  <si>
    <t>WENDY NEAL</t>
  </si>
  <si>
    <t>BIHAR</t>
  </si>
  <si>
    <t>PATNA</t>
  </si>
  <si>
    <t>Qtr1 Total</t>
  </si>
  <si>
    <t>KL-2024-5607039</t>
  </si>
  <si>
    <t>RAYMOND MCKENZIE</t>
  </si>
  <si>
    <t>SPAIN</t>
  </si>
  <si>
    <t>VALENCIANA</t>
  </si>
  <si>
    <t>GANDIA</t>
  </si>
  <si>
    <t>Qtr2</t>
  </si>
  <si>
    <t>Apr</t>
  </si>
  <si>
    <t>KL-2024-5607040</t>
  </si>
  <si>
    <t>ZEPHR HICKMAN</t>
  </si>
  <si>
    <t>DENMARK</t>
  </si>
  <si>
    <t>HOVEDSTADEN</t>
  </si>
  <si>
    <t>COPENHAGEN</t>
  </si>
  <si>
    <t>NORTH</t>
  </si>
  <si>
    <t>May</t>
  </si>
  <si>
    <t>KL-2024-5607041</t>
  </si>
  <si>
    <t>GEORGIA KANE</t>
  </si>
  <si>
    <t>FRANCE</t>
  </si>
  <si>
    <t>ILE-DE-FRANCE</t>
  </si>
  <si>
    <t>VILLIERS-SUR-MARNE</t>
  </si>
  <si>
    <t>Jun</t>
  </si>
  <si>
    <t>KL-2024-5607042</t>
  </si>
  <si>
    <t>STELLA DEJESUS</t>
  </si>
  <si>
    <t>BELGIUM</t>
  </si>
  <si>
    <t>FLEMISH BRABANT</t>
  </si>
  <si>
    <t>LEUVEN</t>
  </si>
  <si>
    <t>Qtr2 Total</t>
  </si>
  <si>
    <t>KL-2024-5607043</t>
  </si>
  <si>
    <t>DAHLIA PORTER</t>
  </si>
  <si>
    <t>Qtr3</t>
  </si>
  <si>
    <t>Jul</t>
  </si>
  <si>
    <t>Aug</t>
  </si>
  <si>
    <t>Row Labels</t>
  </si>
  <si>
    <t>Sep</t>
  </si>
  <si>
    <t>Qtr3 Total</t>
  </si>
  <si>
    <t>Qtr4</t>
  </si>
  <si>
    <t>Oct</t>
  </si>
  <si>
    <t>Nov</t>
  </si>
  <si>
    <t>Dec</t>
  </si>
  <si>
    <t>Qtr4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</si>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</sst>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V\Downloads\Formula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V\Downloads\MIS%20Report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69.958000810184" createdVersion="8" refreshedVersion="8" minRefreshableVersion="3" recordCount="13" xr:uid="{3398B683-DF57-46C7-8032-676864B06AC5}">
  <cacheSource type="worksheet">
    <worksheetSource ref="A1:J14" sheet="PIVOT TABLE OPTIONS" r:id="rId2"/>
  </cacheSource>
  <cacheFields count="13">
    <cacheField name="Order Id." numFmtId="0">
      <sharedItems/>
    </cacheField>
    <cacheField name="Order date" numFmtId="14">
      <sharedItems containsSemiMixedTypes="0" containsNonDate="0" containsDate="1" containsString="0" minDate="2011-06-06T00:00:00" maxDate="2024-06-22T00:00:00" count="13">
        <d v="2011-06-06T00:00:00"/>
        <d v="2012-07-07T00:00:00"/>
        <d v="2013-08-08T00:00:00"/>
        <d v="2014-09-09T00:00:00"/>
        <d v="2015-10-11T00:00:00"/>
        <d v="2016-11-11T00:00:00"/>
        <d v="2017-12-13T00:00:00"/>
        <d v="2019-01-14T00:00:00"/>
        <d v="2020-02-15T00:00:00"/>
        <d v="2021-03-18T00:00:00"/>
        <d v="2022-04-19T00:00:00"/>
        <d v="2023-05-21T00:00:00"/>
        <d v="2024-06-21T00:00:00"/>
      </sharedItems>
      <fieldGroup par="12"/>
    </cacheField>
    <cacheField name="Customer Name" numFmtId="0">
      <sharedItems/>
    </cacheField>
    <cacheField name="Country" numFmtId="0">
      <sharedItems count="7">
        <s v="AUSTRIA"/>
        <s v="GERMANY"/>
        <s v="INDIA"/>
        <s v="SPAIN"/>
        <s v="DENMARK"/>
        <s v="FRANCE"/>
        <s v="BELGIUM"/>
      </sharedItems>
    </cacheField>
    <cacheField name="State" numFmtId="0">
      <sharedItems count="8">
        <s v="VIENNA"/>
        <s v="LOWER SAXONY"/>
        <s v="MAHARASHTRA"/>
        <s v="BIHAR"/>
        <s v="VALENCIANA"/>
        <s v="HOVEDSTADEN"/>
        <s v="ILE-DE-FRANCE"/>
        <s v="FLEMISH BRABANT"/>
      </sharedItems>
    </cacheField>
    <cacheField name="City" numFmtId="0">
      <sharedItems count="8">
        <s v="VIENNA"/>
        <s v="LANGEN"/>
        <s v="MUMBAI"/>
        <s v="PATNA"/>
        <s v="GANDIA"/>
        <s v="COPENHAGEN"/>
        <s v="VILLIERS-SUR-MARNE"/>
        <s v="LEUVEN"/>
      </sharedItems>
    </cacheField>
    <cacheField name="Region" numFmtId="0">
      <sharedItems count="3">
        <s v="CENTRAL"/>
        <s v="SOUTH"/>
        <s v="NORTH"/>
      </sharedItems>
    </cacheField>
    <cacheField name="Quantity" numFmtId="0">
      <sharedItems containsSemiMixedTypes="0" containsString="0" containsNumber="1" containsInteger="1" minValue="23" maxValue="2565"/>
    </cacheField>
    <cacheField name="Sales" numFmtId="0">
      <sharedItems containsSemiMixedTypes="0" containsString="0" containsNumber="1" containsInteger="1" minValue="1586" maxValue="8964"/>
    </cacheField>
    <cacheField name="profit" numFmtId="0">
      <sharedItems containsSemiMixedTypes="0" containsString="0" containsNumber="1" containsInteger="1" minValue="1564" maxValue="9865"/>
    </cacheField>
    <cacheField name="Days (Order date)" numFmtId="0" databaseField="0">
      <fieldGroup base="1">
        <rangePr groupBy="days" startDate="2011-06-06T00:00:00" endDate="2024-06-22T00:00:00"/>
        <groupItems count="368">
          <s v="&lt;06-06-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-06-2024"/>
        </groupItems>
      </fieldGroup>
    </cacheField>
    <cacheField name="Months (Order date)" numFmtId="0" databaseField="0">
      <fieldGroup base="1">
        <rangePr groupBy="months" startDate="2011-06-06T00:00:00" endDate="2024-06-22T00:00:00"/>
        <groupItems count="14">
          <s v="&lt;06-06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6-2024"/>
        </groupItems>
      </fieldGroup>
    </cacheField>
    <cacheField name="Quarters (Order date)" numFmtId="0" databaseField="0">
      <fieldGroup base="1">
        <rangePr groupBy="quarters" startDate="2011-06-06T00:00:00" endDate="2024-06-22T00:00:00"/>
        <groupItems count="6">
          <s v="&lt;06-06-2011"/>
          <s v="Qtr1"/>
          <s v="Qtr2"/>
          <s v="Qtr3"/>
          <s v="Qtr4"/>
          <s v="&gt;22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98.482917245368" createdVersion="8" refreshedVersion="8" minRefreshableVersion="3" recordCount="13" xr:uid="{29804D03-70AE-4A5E-AA44-1D69AFB62E43}">
  <cacheSource type="worksheet">
    <worksheetSource ref="A1:J14" sheet="PIVOT TABLE OPTIONS&amp; SETTING" r:id="rId2"/>
  </cacheSource>
  <cacheFields count="10">
    <cacheField name="Order Id." numFmtId="0">
      <sharedItems/>
    </cacheField>
    <cacheField name="Order date" numFmtId="14">
      <sharedItems containsSemiMixedTypes="0" containsNonDate="0" containsDate="1" containsString="0" minDate="2011-06-06T00:00:00" maxDate="2024-06-22T00:00:00"/>
    </cacheField>
    <cacheField name="Customer Name" numFmtId="0">
      <sharedItems count="13">
        <s v="LANI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</sharedItems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23" maxValue="2565"/>
    </cacheField>
    <cacheField name="Sales" numFmtId="0">
      <sharedItems containsSemiMixedTypes="0" containsString="0" containsNumber="1" containsInteger="1" minValue="1586" maxValue="8964"/>
    </cacheField>
    <cacheField name="profit" numFmtId="0">
      <sharedItems containsSemiMixedTypes="0" containsString="0" containsNumber="1" containsInteger="1" minValue="1564" maxValue="98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KL-2024-5607031"/>
    <x v="0"/>
    <s v="LANIBOWERS"/>
    <x v="0"/>
    <x v="0"/>
    <x v="0"/>
    <x v="0"/>
    <n v="256"/>
    <n v="2934"/>
    <n v="1819"/>
  </r>
  <r>
    <s v="KL-2024-5607032"/>
    <x v="1"/>
    <s v="LANA ADKINS"/>
    <x v="0"/>
    <x v="0"/>
    <x v="0"/>
    <x v="0"/>
    <n v="235"/>
    <n v="2234"/>
    <n v="1564"/>
  </r>
  <r>
    <s v="KL-2024-5607033"/>
    <x v="2"/>
    <s v="SOPOLINE NOEL"/>
    <x v="0"/>
    <x v="0"/>
    <x v="0"/>
    <x v="0"/>
    <n v="25"/>
    <n v="4534"/>
    <n v="2453"/>
  </r>
  <r>
    <s v="KL-2024-5607034"/>
    <x v="3"/>
    <s v="ABBOT HORTON"/>
    <x v="1"/>
    <x v="1"/>
    <x v="1"/>
    <x v="0"/>
    <n v="653"/>
    <n v="5646"/>
    <n v="7823"/>
  </r>
  <r>
    <s v="KL-2024-5607035"/>
    <x v="4"/>
    <s v="HEDDA LIVINGSTON"/>
    <x v="1"/>
    <x v="1"/>
    <x v="1"/>
    <x v="0"/>
    <n v="133"/>
    <n v="5683"/>
    <n v="9865"/>
  </r>
  <r>
    <s v="KL-2024-5607036"/>
    <x v="5"/>
    <s v="HENRY HODGES"/>
    <x v="1"/>
    <x v="1"/>
    <x v="1"/>
    <x v="0"/>
    <n v="89"/>
    <n v="5458"/>
    <n v="2456"/>
  </r>
  <r>
    <s v="KL-2024-5607037"/>
    <x v="6"/>
    <s v="ARISTOTLE BARRETT"/>
    <x v="2"/>
    <x v="2"/>
    <x v="2"/>
    <x v="1"/>
    <n v="956"/>
    <n v="8964"/>
    <n v="3256"/>
  </r>
  <r>
    <s v="KL-2024-5607038"/>
    <x v="7"/>
    <s v="WENDY NEAL"/>
    <x v="2"/>
    <x v="3"/>
    <x v="3"/>
    <x v="1"/>
    <n v="256"/>
    <n v="2235"/>
    <n v="2463"/>
  </r>
  <r>
    <s v="KL-2024-5607039"/>
    <x v="8"/>
    <s v="RAYMOND MCKENZIE"/>
    <x v="3"/>
    <x v="4"/>
    <x v="4"/>
    <x v="1"/>
    <n v="147"/>
    <n v="5656"/>
    <n v="2395"/>
  </r>
  <r>
    <s v="KL-2024-5607040"/>
    <x v="9"/>
    <s v="ZEPHR HICKMAN"/>
    <x v="4"/>
    <x v="5"/>
    <x v="5"/>
    <x v="2"/>
    <n v="23"/>
    <n v="5656"/>
    <n v="2365"/>
  </r>
  <r>
    <s v="KL-2024-5607041"/>
    <x v="10"/>
    <s v="GEORGIA KANE"/>
    <x v="5"/>
    <x v="6"/>
    <x v="6"/>
    <x v="0"/>
    <n v="236"/>
    <n v="6656"/>
    <n v="2563"/>
  </r>
  <r>
    <s v="KL-2024-5607042"/>
    <x v="11"/>
    <s v="STELLA DEJESUS"/>
    <x v="6"/>
    <x v="7"/>
    <x v="7"/>
    <x v="0"/>
    <n v="2565"/>
    <n v="7893"/>
    <n v="2563"/>
  </r>
  <r>
    <s v="KL-2024-5607043"/>
    <x v="12"/>
    <s v="DAHLIA PORTER"/>
    <x v="6"/>
    <x v="7"/>
    <x v="7"/>
    <x v="0"/>
    <n v="25"/>
    <n v="1586"/>
    <n v="25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KL-2024-5607031"/>
    <d v="2011-06-06T00:00:00"/>
    <x v="0"/>
    <s v="AUSTRIA"/>
    <s v="VIENNA"/>
    <s v="VIENNA"/>
    <s v="CENTRAL"/>
    <n v="256"/>
    <n v="2934"/>
    <n v="1819"/>
  </r>
  <r>
    <s v="KL-2024-5607032"/>
    <d v="2012-07-07T00:00:00"/>
    <x v="1"/>
    <s v="AUSTRIA"/>
    <s v="VIENNA"/>
    <s v="VIENNA"/>
    <s v="CENTRAL"/>
    <n v="235"/>
    <n v="2234"/>
    <n v="1564"/>
  </r>
  <r>
    <s v="KL-2024-5607033"/>
    <d v="2013-08-08T00:00:00"/>
    <x v="2"/>
    <s v="AUSTRIA"/>
    <s v="VIENNA"/>
    <s v="VIENNA"/>
    <s v="CENTRAL"/>
    <n v="25"/>
    <n v="4534"/>
    <n v="2453"/>
  </r>
  <r>
    <s v="KL-2024-5607034"/>
    <d v="2014-09-09T00:00:00"/>
    <x v="3"/>
    <s v="GERMANY"/>
    <s v="LOWER SAXONY"/>
    <s v="LANGEN"/>
    <s v="CENTRAL"/>
    <n v="653"/>
    <n v="5646"/>
    <n v="7823"/>
  </r>
  <r>
    <s v="KL-2024-5607035"/>
    <d v="2015-10-11T00:00:00"/>
    <x v="4"/>
    <s v="GERMANY"/>
    <s v="LOWER SAXONY"/>
    <s v="LANGEN"/>
    <s v="CENTRAL"/>
    <n v="133"/>
    <n v="5683"/>
    <n v="9865"/>
  </r>
  <r>
    <s v="KL-2024-5607036"/>
    <d v="2016-11-11T00:00:00"/>
    <x v="5"/>
    <s v="GERMANY"/>
    <s v="LOWER SAXONY"/>
    <s v="LANGEN"/>
    <s v="CENTRAL"/>
    <n v="89"/>
    <n v="5458"/>
    <n v="2456"/>
  </r>
  <r>
    <s v="KL-2024-5607037"/>
    <d v="2017-12-13T00:00:00"/>
    <x v="6"/>
    <s v="INDIA"/>
    <s v="MAHARASHTRA"/>
    <s v="MUMBAI"/>
    <s v="SOUTH"/>
    <n v="956"/>
    <n v="8964"/>
    <n v="3256"/>
  </r>
  <r>
    <s v="KL-2024-5607038"/>
    <d v="2019-01-14T00:00:00"/>
    <x v="7"/>
    <s v="INDIA"/>
    <s v="BIHAR"/>
    <s v="PATNA"/>
    <s v="SOUTH"/>
    <n v="256"/>
    <n v="2235"/>
    <n v="2463"/>
  </r>
  <r>
    <s v="KL-2024-5607039"/>
    <d v="2020-02-15T00:00:00"/>
    <x v="8"/>
    <s v="SPAIN"/>
    <s v="VALENCIANA"/>
    <s v="GANDIA"/>
    <s v="SOUTH"/>
    <n v="147"/>
    <n v="5656"/>
    <n v="2395"/>
  </r>
  <r>
    <s v="KL-2024-5607040"/>
    <d v="2021-03-18T00:00:00"/>
    <x v="9"/>
    <s v="DENMARK"/>
    <s v="HOVEDSTADEN"/>
    <s v="COPENHAGEN"/>
    <s v="NORTH"/>
    <n v="23"/>
    <n v="5656"/>
    <n v="2365"/>
  </r>
  <r>
    <s v="KL-2024-5607041"/>
    <d v="2022-04-19T00:00:00"/>
    <x v="10"/>
    <s v="FRANCE"/>
    <s v="ILE-DE-FRANCE"/>
    <s v="VILLIERS-SUR-MARNE"/>
    <s v="CENTRAL"/>
    <n v="236"/>
    <n v="6656"/>
    <n v="2563"/>
  </r>
  <r>
    <s v="KL-2024-5607042"/>
    <d v="2023-05-21T00:00:00"/>
    <x v="11"/>
    <s v="BELGIUM"/>
    <s v="FLEMISH BRABANT"/>
    <s v="LEUVEN"/>
    <s v="CENTRAL"/>
    <n v="2565"/>
    <n v="7893"/>
    <n v="2563"/>
  </r>
  <r>
    <s v="KL-2024-5607043"/>
    <d v="2024-06-21T00:00:00"/>
    <x v="12"/>
    <s v="BELGIUM"/>
    <s v="FLEMISH BRABANT"/>
    <s v="LEUVEN"/>
    <s v="CENTRAL"/>
    <n v="25"/>
    <n v="1586"/>
    <n v="25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1CBE3-15BF-4541-A6C7-F1CBD24885F4}" name="PivotTable15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:D23" firstHeaderRow="1" firstDataRow="1" firstDataCol="1"/>
  <pivotFields count="10">
    <pivotField showAll="0"/>
    <pivotField numFmtId="14" showAll="0"/>
    <pivotField axis="axisRow" showAll="0" measureFilter="1">
      <items count="14">
        <item x="3"/>
        <item x="6"/>
        <item x="12"/>
        <item x="10"/>
        <item x="4"/>
        <item x="5"/>
        <item x="1"/>
        <item x="0"/>
        <item x="8"/>
        <item x="2"/>
        <item x="11"/>
        <item x="7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 v="1"/>
    </i>
    <i>
      <x v="3"/>
    </i>
    <i>
      <x v="4"/>
    </i>
    <i>
      <x v="8"/>
    </i>
    <i>
      <x v="10"/>
    </i>
    <i>
      <x v="1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AF049-9949-4CB3-86B1-9792B142332F}" name="PivotTable14" cacheId="175" applyNumberFormats="0" applyBorderFormats="0" applyFontFormats="0" applyPatternFormats="0" applyAlignmentFormats="0" applyWidthHeightFormats="1" dataCaption="Values" updatedVersion="8" minRefreshableVersion="3" useAutoFormatting="1" pageWrap="2" pageOverThenDown="1" itemPrintTitles="1" mergeItem="1" createdVersion="8" indent="0" compact="0" compactData="0" gridDropZones="1" multipleFieldFilters="0">
  <location ref="M4:P22" firstHeaderRow="2" firstDataRow="2" firstDataCol="3" rowPageCount="2" colPageCount="2"/>
  <pivotFields count="13">
    <pivotField compact="0" outline="0" showAll="0"/>
    <pivotField compact="0" numFmtId="14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axis="axisPage" compact="0" outline="0" showAll="0">
      <items count="8">
        <item x="0"/>
        <item x="6"/>
        <item x="4"/>
        <item x="5"/>
        <item x="1"/>
        <item x="2"/>
        <item x="3"/>
        <item t="default"/>
      </items>
    </pivotField>
    <pivotField axis="axisPage" compact="0" outline="0" showAll="0">
      <items count="9">
        <item x="3"/>
        <item x="7"/>
        <item x="5"/>
        <item x="6"/>
        <item x="1"/>
        <item x="2"/>
        <item x="4"/>
        <item x="0"/>
        <item t="default"/>
      </items>
    </pivotField>
    <pivotField axis="axisPage" compact="0" outline="0" showAll="0">
      <items count="9">
        <item x="5"/>
        <item x="4"/>
        <item x="1"/>
        <item x="7"/>
        <item x="2"/>
        <item x="3"/>
        <item x="0"/>
        <item x="6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2"/>
    <field x="11"/>
    <field x="10"/>
  </rowFields>
  <rowItems count="17">
    <i>
      <x v="1"/>
      <x v="1"/>
    </i>
    <i r="1">
      <x v="2"/>
    </i>
    <i r="1">
      <x v="3"/>
    </i>
    <i t="default">
      <x v="1"/>
    </i>
    <i>
      <x v="2"/>
      <x v="4"/>
    </i>
    <i r="1">
      <x v="5"/>
    </i>
    <i r="1">
      <x v="6"/>
    </i>
    <i t="default">
      <x v="2"/>
    </i>
    <i>
      <x v="3"/>
      <x v="7"/>
    </i>
    <i r="1">
      <x v="8"/>
    </i>
    <i r="1">
      <x v="9"/>
    </i>
    <i t="default">
      <x v="3"/>
    </i>
    <i>
      <x v="4"/>
      <x v="10"/>
    </i>
    <i r="1">
      <x v="11"/>
    </i>
    <i r="1">
      <x v="12"/>
    </i>
    <i t="default">
      <x v="4"/>
    </i>
    <i t="grand">
      <x/>
    </i>
  </rowItems>
  <colItems count="1">
    <i/>
  </colItems>
  <pageFields count="4">
    <pageField fld="3" hier="-1"/>
    <pageField fld="4" hier="-1"/>
    <pageField fld="5" hier="-1"/>
    <pageField fld="6" hier="-1"/>
  </pageField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F763-5159-4C7C-B47F-559A42FE73FF}">
  <dimension ref="A1:Q23"/>
  <sheetViews>
    <sheetView tabSelected="1" workbookViewId="0">
      <selection activeCell="F23" sqref="F23"/>
    </sheetView>
  </sheetViews>
  <sheetFormatPr defaultRowHeight="14.4" x14ac:dyDescent="0.3"/>
  <cols>
    <col min="1" max="1" width="20.88671875" customWidth="1"/>
    <col min="2" max="2" width="17" bestFit="1" customWidth="1"/>
    <col min="3" max="4" width="25" bestFit="1" customWidth="1"/>
    <col min="5" max="5" width="22.109375" customWidth="1"/>
    <col min="6" max="6" width="23" customWidth="1"/>
    <col min="7" max="7" width="22.109375" bestFit="1" customWidth="1"/>
    <col min="8" max="8" width="11.109375" bestFit="1" customWidth="1"/>
    <col min="9" max="9" width="13.88671875" bestFit="1" customWidth="1"/>
    <col min="10" max="10" width="10.88671875" customWidth="1"/>
    <col min="11" max="11" width="9.44140625" bestFit="1" customWidth="1"/>
    <col min="12" max="12" width="21.88671875" bestFit="1" customWidth="1"/>
    <col min="13" max="13" width="7.109375" bestFit="1" customWidth="1"/>
  </cols>
  <sheetData>
    <row r="1" spans="1:17" ht="23.4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8" t="s">
        <v>3</v>
      </c>
      <c r="N1" t="s">
        <v>10</v>
      </c>
      <c r="P1" s="8" t="s">
        <v>4</v>
      </c>
      <c r="Q1" t="s">
        <v>10</v>
      </c>
    </row>
    <row r="2" spans="1:17" ht="15.6" x14ac:dyDescent="0.3">
      <c r="A2" s="2" t="s">
        <v>11</v>
      </c>
      <c r="B2" s="2" t="s">
        <v>11</v>
      </c>
      <c r="C2" s="3">
        <v>40700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256</v>
      </c>
      <c r="J2" s="2">
        <v>2934</v>
      </c>
      <c r="K2" s="2">
        <v>1819</v>
      </c>
      <c r="M2" s="8" t="s">
        <v>5</v>
      </c>
      <c r="N2" t="s">
        <v>10</v>
      </c>
      <c r="P2" s="8" t="s">
        <v>6</v>
      </c>
      <c r="Q2" t="s">
        <v>10</v>
      </c>
    </row>
    <row r="3" spans="1:17" ht="15.6" x14ac:dyDescent="0.3">
      <c r="A3" s="2" t="s">
        <v>16</v>
      </c>
      <c r="B3" s="2" t="s">
        <v>16</v>
      </c>
      <c r="C3" s="3">
        <v>41097</v>
      </c>
      <c r="D3" s="2" t="s">
        <v>17</v>
      </c>
      <c r="E3" s="2" t="s">
        <v>13</v>
      </c>
      <c r="F3" s="2" t="s">
        <v>14</v>
      </c>
      <c r="G3" s="2" t="s">
        <v>14</v>
      </c>
      <c r="H3" s="2" t="s">
        <v>15</v>
      </c>
      <c r="I3" s="2">
        <v>235</v>
      </c>
      <c r="J3" s="2">
        <v>2234</v>
      </c>
      <c r="K3" s="2">
        <v>1564</v>
      </c>
    </row>
    <row r="4" spans="1:17" ht="15.6" x14ac:dyDescent="0.3">
      <c r="A4" s="2" t="s">
        <v>18</v>
      </c>
      <c r="B4" s="2" t="s">
        <v>18</v>
      </c>
      <c r="C4" s="3">
        <v>41494</v>
      </c>
      <c r="D4" s="2" t="s">
        <v>19</v>
      </c>
      <c r="E4" s="2" t="s">
        <v>13</v>
      </c>
      <c r="F4" s="2" t="s">
        <v>14</v>
      </c>
      <c r="G4" s="2" t="s">
        <v>14</v>
      </c>
      <c r="H4" s="2" t="s">
        <v>15</v>
      </c>
      <c r="I4" s="2">
        <v>25</v>
      </c>
      <c r="J4" s="2">
        <v>4534</v>
      </c>
      <c r="K4" s="2">
        <v>2453</v>
      </c>
      <c r="M4" s="9" t="s">
        <v>20</v>
      </c>
      <c r="N4" s="4"/>
      <c r="O4" s="4"/>
      <c r="P4" s="4"/>
    </row>
    <row r="5" spans="1:17" ht="15.6" x14ac:dyDescent="0.3">
      <c r="A5" s="2" t="s">
        <v>21</v>
      </c>
      <c r="B5" s="2" t="s">
        <v>21</v>
      </c>
      <c r="C5" s="3">
        <v>41891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15</v>
      </c>
      <c r="I5" s="2">
        <v>653</v>
      </c>
      <c r="J5" s="2">
        <v>5646</v>
      </c>
      <c r="K5" s="2">
        <v>7823</v>
      </c>
      <c r="M5" s="9" t="s">
        <v>26</v>
      </c>
      <c r="N5" s="9" t="s">
        <v>27</v>
      </c>
      <c r="O5" s="9" t="s">
        <v>28</v>
      </c>
      <c r="P5" s="4" t="s">
        <v>29</v>
      </c>
    </row>
    <row r="6" spans="1:17" ht="15.6" x14ac:dyDescent="0.3">
      <c r="A6" s="2" t="s">
        <v>30</v>
      </c>
      <c r="B6" s="2" t="s">
        <v>30</v>
      </c>
      <c r="C6" s="3">
        <v>42288</v>
      </c>
      <c r="D6" s="2" t="s">
        <v>31</v>
      </c>
      <c r="E6" s="2" t="s">
        <v>23</v>
      </c>
      <c r="F6" s="2" t="s">
        <v>24</v>
      </c>
      <c r="G6" s="2" t="s">
        <v>25</v>
      </c>
      <c r="H6" s="2" t="s">
        <v>15</v>
      </c>
      <c r="I6" s="2">
        <v>133</v>
      </c>
      <c r="J6" s="2">
        <v>5683</v>
      </c>
      <c r="K6" s="2">
        <v>9865</v>
      </c>
      <c r="M6" s="5" t="s">
        <v>32</v>
      </c>
      <c r="N6" s="5" t="s">
        <v>33</v>
      </c>
      <c r="O6" s="6"/>
      <c r="P6">
        <v>2235</v>
      </c>
    </row>
    <row r="7" spans="1:17" ht="15.6" x14ac:dyDescent="0.3">
      <c r="A7" s="2" t="s">
        <v>34</v>
      </c>
      <c r="B7" s="2" t="s">
        <v>34</v>
      </c>
      <c r="C7" s="3">
        <v>42685</v>
      </c>
      <c r="D7" s="2" t="s">
        <v>35</v>
      </c>
      <c r="E7" s="2" t="s">
        <v>23</v>
      </c>
      <c r="F7" s="2" t="s">
        <v>24</v>
      </c>
      <c r="G7" s="2" t="s">
        <v>25</v>
      </c>
      <c r="H7" s="2" t="s">
        <v>15</v>
      </c>
      <c r="I7" s="2">
        <v>89</v>
      </c>
      <c r="J7" s="2">
        <v>5458</v>
      </c>
      <c r="K7" s="2">
        <v>2456</v>
      </c>
      <c r="M7" s="6"/>
      <c r="N7" s="5" t="s">
        <v>36</v>
      </c>
      <c r="O7" s="6"/>
      <c r="P7">
        <v>5656</v>
      </c>
    </row>
    <row r="8" spans="1:17" ht="15.6" x14ac:dyDescent="0.3">
      <c r="A8" s="2" t="s">
        <v>37</v>
      </c>
      <c r="B8" s="2" t="s">
        <v>37</v>
      </c>
      <c r="C8" s="3">
        <v>43082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>
        <v>956</v>
      </c>
      <c r="J8" s="2">
        <v>8964</v>
      </c>
      <c r="K8" s="2">
        <v>3256</v>
      </c>
      <c r="M8" s="6"/>
      <c r="N8" s="5" t="s">
        <v>43</v>
      </c>
      <c r="O8" s="6"/>
      <c r="P8">
        <v>5656</v>
      </c>
    </row>
    <row r="9" spans="1:17" ht="15.6" x14ac:dyDescent="0.3">
      <c r="A9" s="2" t="s">
        <v>44</v>
      </c>
      <c r="B9" s="2" t="s">
        <v>44</v>
      </c>
      <c r="C9" s="3">
        <v>43479</v>
      </c>
      <c r="D9" s="2" t="s">
        <v>45</v>
      </c>
      <c r="E9" s="2" t="s">
        <v>39</v>
      </c>
      <c r="F9" s="2" t="s">
        <v>46</v>
      </c>
      <c r="G9" s="2" t="s">
        <v>47</v>
      </c>
      <c r="H9" s="2" t="s">
        <v>42</v>
      </c>
      <c r="I9" s="2">
        <v>256</v>
      </c>
      <c r="J9" s="2">
        <v>2235</v>
      </c>
      <c r="K9" s="2">
        <v>2463</v>
      </c>
      <c r="M9" s="5" t="s">
        <v>48</v>
      </c>
      <c r="N9" s="6"/>
      <c r="O9" s="6"/>
      <c r="P9">
        <v>13547</v>
      </c>
    </row>
    <row r="10" spans="1:17" ht="15.6" x14ac:dyDescent="0.3">
      <c r="A10" s="2" t="s">
        <v>49</v>
      </c>
      <c r="B10" s="2" t="s">
        <v>49</v>
      </c>
      <c r="C10" s="3">
        <v>43876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42</v>
      </c>
      <c r="I10" s="2">
        <v>147</v>
      </c>
      <c r="J10" s="2">
        <v>5656</v>
      </c>
      <c r="K10" s="2">
        <v>2395</v>
      </c>
      <c r="M10" s="5" t="s">
        <v>54</v>
      </c>
      <c r="N10" s="5" t="s">
        <v>55</v>
      </c>
      <c r="O10" s="6"/>
      <c r="P10">
        <v>6656</v>
      </c>
    </row>
    <row r="11" spans="1:17" ht="15.6" x14ac:dyDescent="0.3">
      <c r="A11" s="2" t="s">
        <v>56</v>
      </c>
      <c r="B11" s="2" t="s">
        <v>56</v>
      </c>
      <c r="C11" s="3">
        <v>44273</v>
      </c>
      <c r="D11" s="2" t="s">
        <v>57</v>
      </c>
      <c r="E11" s="2" t="s">
        <v>58</v>
      </c>
      <c r="F11" s="2" t="s">
        <v>59</v>
      </c>
      <c r="G11" s="2" t="s">
        <v>60</v>
      </c>
      <c r="H11" s="2" t="s">
        <v>61</v>
      </c>
      <c r="I11" s="2">
        <v>23</v>
      </c>
      <c r="J11" s="2">
        <v>5656</v>
      </c>
      <c r="K11" s="2">
        <v>2365</v>
      </c>
      <c r="M11" s="6"/>
      <c r="N11" s="5" t="s">
        <v>62</v>
      </c>
      <c r="O11" s="6"/>
      <c r="P11">
        <v>7893</v>
      </c>
    </row>
    <row r="12" spans="1:17" ht="15.6" x14ac:dyDescent="0.3">
      <c r="A12" s="2" t="s">
        <v>63</v>
      </c>
      <c r="B12" s="2" t="s">
        <v>63</v>
      </c>
      <c r="C12" s="3">
        <v>44670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15</v>
      </c>
      <c r="I12" s="2">
        <v>236</v>
      </c>
      <c r="J12" s="2">
        <v>6656</v>
      </c>
      <c r="K12" s="2">
        <v>2563</v>
      </c>
      <c r="M12" s="6"/>
      <c r="N12" s="5" t="s">
        <v>68</v>
      </c>
      <c r="O12" s="6"/>
      <c r="P12">
        <v>4520</v>
      </c>
    </row>
    <row r="13" spans="1:17" ht="15.6" x14ac:dyDescent="0.3">
      <c r="A13" s="2" t="s">
        <v>69</v>
      </c>
      <c r="B13" s="2" t="s">
        <v>69</v>
      </c>
      <c r="C13" s="3">
        <v>45067</v>
      </c>
      <c r="D13" s="2" t="s">
        <v>70</v>
      </c>
      <c r="E13" s="2" t="s">
        <v>71</v>
      </c>
      <c r="F13" s="2" t="s">
        <v>72</v>
      </c>
      <c r="G13" s="2" t="s">
        <v>73</v>
      </c>
      <c r="H13" s="2" t="s">
        <v>15</v>
      </c>
      <c r="I13" s="2">
        <v>2565</v>
      </c>
      <c r="J13" s="2">
        <v>7893</v>
      </c>
      <c r="K13" s="2">
        <v>2563</v>
      </c>
      <c r="M13" s="5" t="s">
        <v>74</v>
      </c>
      <c r="N13" s="6"/>
      <c r="O13" s="6"/>
      <c r="P13">
        <v>19069</v>
      </c>
    </row>
    <row r="14" spans="1:17" ht="15.6" x14ac:dyDescent="0.3">
      <c r="A14" s="2" t="s">
        <v>75</v>
      </c>
      <c r="B14" s="2" t="s">
        <v>75</v>
      </c>
      <c r="C14" s="3">
        <v>45464</v>
      </c>
      <c r="D14" s="2" t="s">
        <v>76</v>
      </c>
      <c r="E14" s="2" t="s">
        <v>71</v>
      </c>
      <c r="F14" s="2" t="s">
        <v>72</v>
      </c>
      <c r="G14" s="2" t="s">
        <v>73</v>
      </c>
      <c r="H14" s="2" t="s">
        <v>15</v>
      </c>
      <c r="I14" s="2">
        <v>25</v>
      </c>
      <c r="J14" s="2">
        <v>1586</v>
      </c>
      <c r="K14" s="2">
        <v>2556</v>
      </c>
      <c r="M14" s="5" t="s">
        <v>77</v>
      </c>
      <c r="N14" s="5" t="s">
        <v>78</v>
      </c>
      <c r="O14" s="6"/>
      <c r="P14">
        <v>2234</v>
      </c>
    </row>
    <row r="15" spans="1:17" x14ac:dyDescent="0.3">
      <c r="M15" s="6"/>
      <c r="N15" s="5" t="s">
        <v>79</v>
      </c>
      <c r="O15" s="6"/>
      <c r="P15">
        <v>4534</v>
      </c>
    </row>
    <row r="16" spans="1:17" x14ac:dyDescent="0.3">
      <c r="C16" s="8" t="s">
        <v>80</v>
      </c>
      <c r="D16" t="s">
        <v>20</v>
      </c>
      <c r="M16" s="6"/>
      <c r="N16" s="5" t="s">
        <v>81</v>
      </c>
      <c r="O16" s="6"/>
      <c r="P16">
        <v>5646</v>
      </c>
    </row>
    <row r="17" spans="3:16" x14ac:dyDescent="0.3">
      <c r="C17" s="7" t="s">
        <v>38</v>
      </c>
      <c r="D17">
        <v>8964</v>
      </c>
      <c r="M17" s="5" t="s">
        <v>82</v>
      </c>
      <c r="N17" s="6"/>
      <c r="O17" s="6"/>
      <c r="P17">
        <v>12414</v>
      </c>
    </row>
    <row r="18" spans="3:16" x14ac:dyDescent="0.3">
      <c r="C18" s="7" t="s">
        <v>64</v>
      </c>
      <c r="D18">
        <v>6656</v>
      </c>
      <c r="M18" s="5" t="s">
        <v>83</v>
      </c>
      <c r="N18" s="5" t="s">
        <v>84</v>
      </c>
      <c r="O18" s="6"/>
      <c r="P18">
        <v>5683</v>
      </c>
    </row>
    <row r="19" spans="3:16" x14ac:dyDescent="0.3">
      <c r="C19" s="7" t="s">
        <v>31</v>
      </c>
      <c r="D19">
        <v>5683</v>
      </c>
      <c r="M19" s="6"/>
      <c r="N19" s="5" t="s">
        <v>85</v>
      </c>
      <c r="O19" s="6"/>
      <c r="P19">
        <v>5458</v>
      </c>
    </row>
    <row r="20" spans="3:16" x14ac:dyDescent="0.3">
      <c r="C20" s="7" t="s">
        <v>50</v>
      </c>
      <c r="D20">
        <v>5656</v>
      </c>
      <c r="M20" s="6"/>
      <c r="N20" s="5" t="s">
        <v>86</v>
      </c>
      <c r="O20" s="6"/>
      <c r="P20">
        <v>8964</v>
      </c>
    </row>
    <row r="21" spans="3:16" x14ac:dyDescent="0.3">
      <c r="C21" s="7" t="s">
        <v>70</v>
      </c>
      <c r="D21">
        <v>7893</v>
      </c>
      <c r="M21" s="5" t="s">
        <v>87</v>
      </c>
      <c r="N21" s="6"/>
      <c r="O21" s="6"/>
      <c r="P21">
        <v>20105</v>
      </c>
    </row>
    <row r="22" spans="3:16" x14ac:dyDescent="0.3">
      <c r="C22" s="7" t="s">
        <v>57</v>
      </c>
      <c r="D22">
        <v>5656</v>
      </c>
      <c r="M22" s="5" t="s">
        <v>88</v>
      </c>
      <c r="N22" s="6"/>
      <c r="O22" s="6"/>
      <c r="P22">
        <v>65135</v>
      </c>
    </row>
    <row r="23" spans="3:16" x14ac:dyDescent="0.3">
      <c r="C23" s="7" t="s">
        <v>88</v>
      </c>
      <c r="D23">
        <v>40508</v>
      </c>
    </row>
  </sheetData>
  <mergeCells count="21">
    <mergeCell ref="M18:M20"/>
    <mergeCell ref="N18:O18"/>
    <mergeCell ref="N19:O19"/>
    <mergeCell ref="N20:O20"/>
    <mergeCell ref="M21:O21"/>
    <mergeCell ref="M22:O22"/>
    <mergeCell ref="M13:O13"/>
    <mergeCell ref="M14:M16"/>
    <mergeCell ref="N14:O14"/>
    <mergeCell ref="N15:O15"/>
    <mergeCell ref="N16:O16"/>
    <mergeCell ref="M17:O17"/>
    <mergeCell ref="M6:M8"/>
    <mergeCell ref="N6:O6"/>
    <mergeCell ref="N7:O7"/>
    <mergeCell ref="N8:O8"/>
    <mergeCell ref="M9:O9"/>
    <mergeCell ref="M10:M12"/>
    <mergeCell ref="N10:O10"/>
    <mergeCell ref="N11:O11"/>
    <mergeCell ref="N12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2025-06-05T14:54:45Z</dcterms:created>
  <dcterms:modified xsi:type="dcterms:W3CDTF">2025-06-05T14:56:14Z</dcterms:modified>
</cp:coreProperties>
</file>