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0" documentId="8_{8299E008-4ACD-4774-B864-11443BFC32C6}" xr6:coauthVersionLast="47" xr6:coauthVersionMax="47" xr10:uidLastSave="{00000000-0000-0000-0000-000000000000}"/>
  <bookViews>
    <workbookView xWindow="-108" yWindow="-108" windowWidth="23256" windowHeight="12576" xr2:uid="{03DAD8E2-C75A-4A0C-98D5-40C651A72CC8}"/>
  </bookViews>
  <sheets>
    <sheet name="Master data" sheetId="5" r:id="rId1"/>
    <sheet name="Q1" sheetId="1" r:id="rId2"/>
    <sheet name="Q2" sheetId="4" r:id="rId3"/>
    <sheet name="Q3" sheetId="3" r:id="rId4"/>
    <sheet name="Q4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F4" i="5"/>
  <c r="G4" i="5"/>
  <c r="G8" i="5" s="1"/>
  <c r="H5" i="5"/>
  <c r="H8" i="5" s="1"/>
  <c r="I5" i="5"/>
  <c r="J5" i="5"/>
  <c r="J8" i="5" s="1"/>
  <c r="N5" i="5"/>
  <c r="K6" i="5"/>
  <c r="K8" i="5" s="1"/>
  <c r="L6" i="5"/>
  <c r="M6" i="5"/>
  <c r="M8" i="5" s="1"/>
  <c r="N6" i="5"/>
  <c r="E7" i="5"/>
  <c r="F7" i="5"/>
  <c r="G7" i="5"/>
  <c r="N7" i="5"/>
  <c r="E8" i="5"/>
  <c r="F8" i="5"/>
  <c r="I8" i="5"/>
  <c r="L8" i="5"/>
  <c r="E9" i="5"/>
  <c r="F9" i="5"/>
  <c r="G9" i="5"/>
  <c r="N9" i="5"/>
  <c r="H10" i="5"/>
  <c r="H13" i="5" s="1"/>
  <c r="I10" i="5"/>
  <c r="I13" i="5" s="1"/>
  <c r="J10" i="5"/>
  <c r="N10" i="5"/>
  <c r="K11" i="5"/>
  <c r="K13" i="5" s="1"/>
  <c r="L11" i="5"/>
  <c r="L13" i="5" s="1"/>
  <c r="M11" i="5"/>
  <c r="N11" i="5"/>
  <c r="E12" i="5"/>
  <c r="F12" i="5"/>
  <c r="G12" i="5"/>
  <c r="N12" i="5"/>
  <c r="E13" i="5"/>
  <c r="F13" i="5"/>
  <c r="G13" i="5"/>
  <c r="J13" i="5"/>
  <c r="M13" i="5"/>
  <c r="N13" i="5"/>
  <c r="E14" i="5"/>
  <c r="F14" i="5"/>
  <c r="G14" i="5"/>
  <c r="N14" i="5"/>
  <c r="H15" i="5"/>
  <c r="I15" i="5"/>
  <c r="J15" i="5"/>
  <c r="J18" i="5" s="1"/>
  <c r="N15" i="5"/>
  <c r="K16" i="5"/>
  <c r="L16" i="5"/>
  <c r="M16" i="5"/>
  <c r="M18" i="5" s="1"/>
  <c r="N16" i="5"/>
  <c r="E17" i="5"/>
  <c r="F17" i="5"/>
  <c r="G17" i="5"/>
  <c r="N17" i="5"/>
  <c r="E18" i="5"/>
  <c r="F18" i="5"/>
  <c r="G18" i="5"/>
  <c r="H18" i="5"/>
  <c r="I18" i="5"/>
  <c r="K18" i="5"/>
  <c r="L18" i="5"/>
  <c r="E19" i="5"/>
  <c r="F19" i="5"/>
  <c r="G19" i="5"/>
  <c r="N19" i="5"/>
  <c r="N23" i="5" s="1"/>
  <c r="H20" i="5"/>
  <c r="H23" i="5" s="1"/>
  <c r="I20" i="5"/>
  <c r="I23" i="5" s="1"/>
  <c r="J20" i="5"/>
  <c r="N20" i="5"/>
  <c r="K21" i="5"/>
  <c r="K23" i="5" s="1"/>
  <c r="L21" i="5"/>
  <c r="L23" i="5" s="1"/>
  <c r="M21" i="5"/>
  <c r="N21" i="5"/>
  <c r="E22" i="5"/>
  <c r="F22" i="5"/>
  <c r="G22" i="5"/>
  <c r="N22" i="5"/>
  <c r="E23" i="5"/>
  <c r="F23" i="5"/>
  <c r="G23" i="5"/>
  <c r="J23" i="5"/>
  <c r="M23" i="5"/>
  <c r="E24" i="5"/>
  <c r="F24" i="5"/>
  <c r="G24" i="5"/>
  <c r="N24" i="5"/>
  <c r="H25" i="5"/>
  <c r="I25" i="5"/>
  <c r="I28" i="5" s="1"/>
  <c r="J25" i="5"/>
  <c r="J28" i="5" s="1"/>
  <c r="N25" i="5"/>
  <c r="K26" i="5"/>
  <c r="L26" i="5"/>
  <c r="M26" i="5"/>
  <c r="M28" i="5" s="1"/>
  <c r="N26" i="5"/>
  <c r="E27" i="5"/>
  <c r="F27" i="5"/>
  <c r="G27" i="5"/>
  <c r="N27" i="5"/>
  <c r="E28" i="5"/>
  <c r="F28" i="5"/>
  <c r="G28" i="5"/>
  <c r="H28" i="5"/>
  <c r="K28" i="5"/>
  <c r="L28" i="5"/>
  <c r="E29" i="5"/>
  <c r="F29" i="5"/>
  <c r="G29" i="5"/>
  <c r="N29" i="5"/>
  <c r="H30" i="5"/>
  <c r="H33" i="5" s="1"/>
  <c r="I30" i="5"/>
  <c r="I33" i="5" s="1"/>
  <c r="J30" i="5"/>
  <c r="N30" i="5"/>
  <c r="K31" i="5"/>
  <c r="K33" i="5" s="1"/>
  <c r="L31" i="5"/>
  <c r="L33" i="5" s="1"/>
  <c r="M31" i="5"/>
  <c r="M33" i="5" s="1"/>
  <c r="N31" i="5"/>
  <c r="N33" i="5" s="1"/>
  <c r="E32" i="5"/>
  <c r="F32" i="5"/>
  <c r="G32" i="5"/>
  <c r="N32" i="5"/>
  <c r="E33" i="5"/>
  <c r="F33" i="5"/>
  <c r="G33" i="5"/>
  <c r="J33" i="5"/>
  <c r="E34" i="5"/>
  <c r="F34" i="5"/>
  <c r="G34" i="5"/>
  <c r="G38" i="5" s="1"/>
  <c r="N34" i="5"/>
  <c r="H35" i="5"/>
  <c r="I35" i="5"/>
  <c r="I38" i="5" s="1"/>
  <c r="J35" i="5"/>
  <c r="J38" i="5" s="1"/>
  <c r="N35" i="5"/>
  <c r="K36" i="5"/>
  <c r="L36" i="5"/>
  <c r="L38" i="5" s="1"/>
  <c r="M36" i="5"/>
  <c r="M38" i="5" s="1"/>
  <c r="N36" i="5"/>
  <c r="E37" i="5"/>
  <c r="F37" i="5"/>
  <c r="F38" i="5" s="1"/>
  <c r="G37" i="5"/>
  <c r="N37" i="5"/>
  <c r="E38" i="5"/>
  <c r="H38" i="5"/>
  <c r="K38" i="5"/>
  <c r="N38" i="5"/>
  <c r="E39" i="5"/>
  <c r="F39" i="5"/>
  <c r="G39" i="5"/>
  <c r="N39" i="5"/>
  <c r="H40" i="5"/>
  <c r="H43" i="5" s="1"/>
  <c r="I40" i="5"/>
  <c r="I43" i="5" s="1"/>
  <c r="J40" i="5"/>
  <c r="N40" i="5"/>
  <c r="K41" i="5"/>
  <c r="K43" i="5" s="1"/>
  <c r="L41" i="5"/>
  <c r="M41" i="5"/>
  <c r="N41" i="5"/>
  <c r="E42" i="5"/>
  <c r="F42" i="5"/>
  <c r="G42" i="5"/>
  <c r="N42" i="5"/>
  <c r="E43" i="5"/>
  <c r="F43" i="5"/>
  <c r="G43" i="5"/>
  <c r="J43" i="5"/>
  <c r="L43" i="5"/>
  <c r="M43" i="5"/>
  <c r="E44" i="5"/>
  <c r="F44" i="5"/>
  <c r="G44" i="5"/>
  <c r="N44" i="5"/>
  <c r="H45" i="5"/>
  <c r="H48" i="5" s="1"/>
  <c r="I45" i="5"/>
  <c r="I48" i="5" s="1"/>
  <c r="J45" i="5"/>
  <c r="N45" i="5"/>
  <c r="K46" i="5"/>
  <c r="L46" i="5"/>
  <c r="L48" i="5" s="1"/>
  <c r="M46" i="5"/>
  <c r="M48" i="5" s="1"/>
  <c r="N46" i="5"/>
  <c r="E47" i="5"/>
  <c r="F47" i="5"/>
  <c r="F48" i="5" s="1"/>
  <c r="G47" i="5"/>
  <c r="N47" i="5"/>
  <c r="E48" i="5"/>
  <c r="G48" i="5"/>
  <c r="J48" i="5"/>
  <c r="K48" i="5"/>
  <c r="N48" i="5"/>
  <c r="F49" i="5"/>
  <c r="G49" i="5"/>
  <c r="G53" i="5" s="1"/>
  <c r="H50" i="5"/>
  <c r="H53" i="5" s="1"/>
  <c r="I50" i="5"/>
  <c r="I53" i="5" s="1"/>
  <c r="J50" i="5"/>
  <c r="N50" i="5"/>
  <c r="K51" i="5"/>
  <c r="K53" i="5" s="1"/>
  <c r="L51" i="5"/>
  <c r="M51" i="5"/>
  <c r="N51" i="5"/>
  <c r="E52" i="5"/>
  <c r="F52" i="5"/>
  <c r="G52" i="5"/>
  <c r="N52" i="5"/>
  <c r="F53" i="5"/>
  <c r="J53" i="5"/>
  <c r="L53" i="5"/>
  <c r="M53" i="5"/>
  <c r="E13" i="4"/>
  <c r="D13" i="4"/>
  <c r="C13" i="4"/>
  <c r="F12" i="4"/>
  <c r="F11" i="4"/>
  <c r="F10" i="4"/>
  <c r="F9" i="4"/>
  <c r="F8" i="4"/>
  <c r="F7" i="4"/>
  <c r="F6" i="4"/>
  <c r="F5" i="4"/>
  <c r="F4" i="4"/>
  <c r="E13" i="3"/>
  <c r="D13" i="3"/>
  <c r="C13" i="3"/>
  <c r="F12" i="3"/>
  <c r="F11" i="3"/>
  <c r="F10" i="3"/>
  <c r="F9" i="3"/>
  <c r="F8" i="3"/>
  <c r="F7" i="3"/>
  <c r="F6" i="3"/>
  <c r="F5" i="3"/>
  <c r="F4" i="3"/>
  <c r="E13" i="2"/>
  <c r="D13" i="2"/>
  <c r="C13" i="2"/>
  <c r="F12" i="2"/>
  <c r="F11" i="2"/>
  <c r="F10" i="2"/>
  <c r="F9" i="2"/>
  <c r="F8" i="2"/>
  <c r="F7" i="2"/>
  <c r="F6" i="2"/>
  <c r="F5" i="2"/>
  <c r="F4" i="2"/>
  <c r="F5" i="1"/>
  <c r="F6" i="1"/>
  <c r="F7" i="1"/>
  <c r="F8" i="1"/>
  <c r="F9" i="1"/>
  <c r="F10" i="1"/>
  <c r="F11" i="1"/>
  <c r="F12" i="1"/>
  <c r="F4" i="1"/>
  <c r="N4" i="5" s="1"/>
  <c r="D13" i="1"/>
  <c r="E13" i="1"/>
  <c r="C13" i="1"/>
  <c r="E49" i="5" s="1"/>
  <c r="N18" i="5" l="1"/>
  <c r="N43" i="5"/>
  <c r="N8" i="5"/>
  <c r="E53" i="5"/>
  <c r="N28" i="5"/>
  <c r="F13" i="1"/>
  <c r="N49" i="5" s="1"/>
  <c r="N53" i="5" s="1"/>
  <c r="F13" i="2"/>
  <c r="F13" i="3"/>
  <c r="F13" i="4"/>
</calcChain>
</file>

<file path=xl/sharedStrings.xml><?xml version="1.0" encoding="utf-8"?>
<sst xmlns="http://schemas.openxmlformats.org/spreadsheetml/2006/main" count="131" uniqueCount="28">
  <si>
    <t>ABC Enterprises</t>
  </si>
  <si>
    <t>Product</t>
  </si>
  <si>
    <t>Coffee</t>
  </si>
  <si>
    <t>Candy</t>
  </si>
  <si>
    <t>Chocolate</t>
  </si>
  <si>
    <t>Sugar</t>
  </si>
  <si>
    <t>Milk Powder</t>
  </si>
  <si>
    <t>Biscuits</t>
  </si>
  <si>
    <t>Cold Drinks</t>
  </si>
  <si>
    <t>Fruit Juice</t>
  </si>
  <si>
    <t>Energy Drink</t>
  </si>
  <si>
    <t>Total</t>
  </si>
  <si>
    <t>Jan</t>
  </si>
  <si>
    <t>Feb</t>
  </si>
  <si>
    <t>Mar</t>
  </si>
  <si>
    <t>Q1</t>
  </si>
  <si>
    <t>Q2</t>
  </si>
  <si>
    <t>Q3</t>
  </si>
  <si>
    <t>Q4</t>
  </si>
  <si>
    <t>Apr</t>
  </si>
  <si>
    <t>May</t>
  </si>
  <si>
    <t>Jun</t>
  </si>
  <si>
    <t>Jul</t>
  </si>
  <si>
    <t>Aug</t>
  </si>
  <si>
    <t>Sep</t>
  </si>
  <si>
    <t>Book3</t>
  </si>
  <si>
    <t>Consolidation in Excel</t>
  </si>
  <si>
    <t>Data &gt; Consolidate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</si>
</sst>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8" borderId="8" xfId="0" applyFont="1" applyFill="1" applyBorder="1"/>
    <xf numFmtId="0" fontId="1" fillId="6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3" fillId="3" borderId="6" xfId="0" applyFont="1" applyFill="1" applyBorder="1"/>
    <xf numFmtId="0" fontId="5" fillId="10" borderId="2" xfId="0" applyFont="1" applyFill="1" applyBorder="1" applyAlignment="1">
      <alignment horizontal="center" vertical="center"/>
    </xf>
    <xf numFmtId="0" fontId="5" fillId="10" borderId="2" xfId="0" quotePrefix="1" applyFont="1" applyFill="1" applyBorder="1" applyAlignment="1">
      <alignment horizontal="center" vertical="center"/>
    </xf>
    <xf numFmtId="0" fontId="0" fillId="6" borderId="1" xfId="0" applyFill="1" applyBorder="1"/>
    <xf numFmtId="0" fontId="4" fillId="11" borderId="1" xfId="0" quotePrefix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6" fillId="12" borderId="0" xfId="0" quotePrefix="1" applyFont="1" applyFill="1" applyAlignment="1">
      <alignment horizontal="center" vertical="center"/>
    </xf>
    <xf numFmtId="0" fontId="6" fillId="12" borderId="11" xfId="0" quotePrefix="1" applyFont="1" applyFill="1" applyBorder="1" applyAlignment="1">
      <alignment horizontal="center" vertical="center"/>
    </xf>
    <xf numFmtId="0" fontId="0" fillId="13" borderId="2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E1F1BA-D30D-4196-956E-3D2628D9F9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1F3F-B4D3-41C9-93FC-E04B945CE206}">
  <dimension ref="C1:Q53"/>
  <sheetViews>
    <sheetView tabSelected="1" workbookViewId="0">
      <selection activeCell="Q34" sqref="Q34"/>
    </sheetView>
  </sheetViews>
  <sheetFormatPr defaultRowHeight="14.4" outlineLevelRow="1" x14ac:dyDescent="0.3"/>
  <cols>
    <col min="3" max="3" width="15.6640625" customWidth="1"/>
    <col min="4" max="4" width="10.6640625" customWidth="1"/>
    <col min="5" max="14" width="10.88671875" customWidth="1"/>
    <col min="17" max="17" width="18.44140625" customWidth="1"/>
    <col min="18" max="18" width="11.33203125" customWidth="1"/>
  </cols>
  <sheetData>
    <row r="1" spans="3:14" ht="33.6" customHeight="1" x14ac:dyDescent="0.3">
      <c r="C1" s="18" t="s">
        <v>26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3:14" x14ac:dyDescent="0.3"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3:14" ht="23.4" x14ac:dyDescent="0.3">
      <c r="C3" s="15" t="s">
        <v>1</v>
      </c>
      <c r="D3" s="16"/>
      <c r="E3" s="16" t="s">
        <v>12</v>
      </c>
      <c r="F3" s="16" t="s">
        <v>13</v>
      </c>
      <c r="G3" s="16" t="s">
        <v>14</v>
      </c>
      <c r="H3" s="16" t="s">
        <v>19</v>
      </c>
      <c r="I3" s="16" t="s">
        <v>20</v>
      </c>
      <c r="J3" s="16" t="s">
        <v>21</v>
      </c>
      <c r="K3" s="16" t="s">
        <v>22</v>
      </c>
      <c r="L3" s="16" t="s">
        <v>23</v>
      </c>
      <c r="M3" s="16" t="s">
        <v>24</v>
      </c>
      <c r="N3" s="16" t="s">
        <v>11</v>
      </c>
    </row>
    <row r="4" spans="3:14" hidden="1" outlineLevel="1" x14ac:dyDescent="0.3">
      <c r="C4" s="14"/>
      <c r="D4" s="14" t="s">
        <v>2</v>
      </c>
      <c r="E4" s="14">
        <f>'Q1'!$C$4</f>
        <v>1369</v>
      </c>
      <c r="F4" s="14">
        <f>'Q1'!$D$4</f>
        <v>420</v>
      </c>
      <c r="G4" s="14">
        <f>'Q1'!$E$4</f>
        <v>294</v>
      </c>
      <c r="H4" s="14"/>
      <c r="I4" s="14"/>
      <c r="J4" s="14"/>
      <c r="K4" s="14"/>
      <c r="L4" s="14"/>
      <c r="M4" s="14"/>
      <c r="N4" s="14">
        <f>'Q1'!$F$4</f>
        <v>2083</v>
      </c>
    </row>
    <row r="5" spans="3:14" hidden="1" outlineLevel="1" collapsed="1" x14ac:dyDescent="0.3">
      <c r="C5" s="14"/>
      <c r="D5" s="14" t="s">
        <v>2</v>
      </c>
      <c r="E5" s="14"/>
      <c r="F5" s="14"/>
      <c r="G5" s="14"/>
      <c r="H5" s="14">
        <f>'Q2'!$C$4</f>
        <v>187</v>
      </c>
      <c r="I5" s="14">
        <f>'Q2'!$D$4</f>
        <v>513</v>
      </c>
      <c r="J5" s="14">
        <f>'Q2'!$E$4</f>
        <v>430</v>
      </c>
      <c r="K5" s="14"/>
      <c r="L5" s="14"/>
      <c r="M5" s="14"/>
      <c r="N5" s="14">
        <f>'Q2'!$F$4</f>
        <v>1130</v>
      </c>
    </row>
    <row r="6" spans="3:14" hidden="1" outlineLevel="1" collapsed="1" x14ac:dyDescent="0.3">
      <c r="C6" s="14"/>
      <c r="D6" s="14" t="s">
        <v>2</v>
      </c>
      <c r="E6" s="14"/>
      <c r="F6" s="14"/>
      <c r="G6" s="14"/>
      <c r="H6" s="14"/>
      <c r="I6" s="14"/>
      <c r="J6" s="14"/>
      <c r="K6" s="14">
        <f>'Q3'!$C$4</f>
        <v>695</v>
      </c>
      <c r="L6" s="14">
        <f>'Q3'!$D$4</f>
        <v>409</v>
      </c>
      <c r="M6" s="14">
        <f>'Q3'!$E$4</f>
        <v>621</v>
      </c>
      <c r="N6" s="14">
        <f>'Q3'!$F$4</f>
        <v>1725</v>
      </c>
    </row>
    <row r="7" spans="3:14" hidden="1" outlineLevel="1" collapsed="1" x14ac:dyDescent="0.3">
      <c r="C7" s="14"/>
      <c r="D7" s="14" t="s">
        <v>2</v>
      </c>
      <c r="E7" s="14">
        <f>'Q4'!$C$4</f>
        <v>336</v>
      </c>
      <c r="F7" s="14">
        <f>'Q4'!$D$4</f>
        <v>466</v>
      </c>
      <c r="G7" s="14">
        <f>'Q4'!$E$4</f>
        <v>298</v>
      </c>
      <c r="H7" s="14"/>
      <c r="I7" s="14"/>
      <c r="J7" s="14"/>
      <c r="K7" s="14"/>
      <c r="L7" s="14"/>
      <c r="M7" s="14"/>
      <c r="N7" s="14">
        <f>'Q4'!$F$4</f>
        <v>1100</v>
      </c>
    </row>
    <row r="8" spans="3:14" ht="18" collapsed="1" x14ac:dyDescent="0.3">
      <c r="C8" s="17" t="s">
        <v>2</v>
      </c>
      <c r="D8" s="17"/>
      <c r="E8" s="17">
        <f>SUM(E4:E7)</f>
        <v>1705</v>
      </c>
      <c r="F8" s="17">
        <f>SUM(F4:F7)</f>
        <v>886</v>
      </c>
      <c r="G8" s="17">
        <f>SUM(G4:G7)</f>
        <v>592</v>
      </c>
      <c r="H8" s="17">
        <f>SUM(H4:H7)</f>
        <v>187</v>
      </c>
      <c r="I8" s="17">
        <f>SUM(I4:I7)</f>
        <v>513</v>
      </c>
      <c r="J8" s="17">
        <f>SUM(J4:J7)</f>
        <v>430</v>
      </c>
      <c r="K8" s="17">
        <f>SUM(K4:K7)</f>
        <v>695</v>
      </c>
      <c r="L8" s="17">
        <f>SUM(L4:L7)</f>
        <v>409</v>
      </c>
      <c r="M8" s="17">
        <f>SUM(M4:M7)</f>
        <v>621</v>
      </c>
      <c r="N8" s="17">
        <f>SUM(N4:N7)</f>
        <v>6038</v>
      </c>
    </row>
    <row r="9" spans="3:14" hidden="1" outlineLevel="1" x14ac:dyDescent="0.3">
      <c r="C9" s="14"/>
      <c r="D9" s="14" t="s">
        <v>3</v>
      </c>
      <c r="E9" s="14">
        <f>'Q1'!$C$5</f>
        <v>487</v>
      </c>
      <c r="F9" s="14">
        <f>'Q1'!$D$5</f>
        <v>470</v>
      </c>
      <c r="G9" s="14">
        <f>'Q1'!$E$5</f>
        <v>333</v>
      </c>
      <c r="H9" s="14"/>
      <c r="I9" s="14"/>
      <c r="J9" s="14"/>
      <c r="K9" s="14"/>
      <c r="L9" s="14"/>
      <c r="M9" s="14"/>
      <c r="N9" s="14">
        <f>'Q1'!$F$5</f>
        <v>1290</v>
      </c>
    </row>
    <row r="10" spans="3:14" hidden="1" outlineLevel="1" collapsed="1" x14ac:dyDescent="0.3">
      <c r="C10" s="14"/>
      <c r="D10" s="14" t="s">
        <v>3</v>
      </c>
      <c r="E10" s="14"/>
      <c r="F10" s="14"/>
      <c r="G10" s="14"/>
      <c r="H10" s="14">
        <f>'Q2'!$C$5</f>
        <v>520</v>
      </c>
      <c r="I10" s="14">
        <f>'Q2'!$D$5</f>
        <v>342</v>
      </c>
      <c r="J10" s="14">
        <f>'Q2'!$E$5</f>
        <v>397</v>
      </c>
      <c r="K10" s="14"/>
      <c r="L10" s="14"/>
      <c r="M10" s="14"/>
      <c r="N10" s="14">
        <f>'Q2'!$F$5</f>
        <v>1259</v>
      </c>
    </row>
    <row r="11" spans="3:14" hidden="1" outlineLevel="1" collapsed="1" x14ac:dyDescent="0.3">
      <c r="C11" s="14"/>
      <c r="D11" s="14" t="s">
        <v>3</v>
      </c>
      <c r="E11" s="14"/>
      <c r="F11" s="14"/>
      <c r="G11" s="14"/>
      <c r="H11" s="14"/>
      <c r="I11" s="14"/>
      <c r="J11" s="14"/>
      <c r="K11" s="14">
        <f>'Q3'!$C$5</f>
        <v>505</v>
      </c>
      <c r="L11" s="14">
        <f>'Q3'!$D$5</f>
        <v>290</v>
      </c>
      <c r="M11" s="14">
        <f>'Q3'!$E$5</f>
        <v>582</v>
      </c>
      <c r="N11" s="14">
        <f>'Q3'!$F$5</f>
        <v>1377</v>
      </c>
    </row>
    <row r="12" spans="3:14" hidden="1" outlineLevel="1" collapsed="1" x14ac:dyDescent="0.3">
      <c r="C12" s="14"/>
      <c r="D12" s="14" t="s">
        <v>3</v>
      </c>
      <c r="E12" s="14">
        <f>'Q4'!$C$5</f>
        <v>662</v>
      </c>
      <c r="F12" s="14">
        <f>'Q4'!$D$5</f>
        <v>556</v>
      </c>
      <c r="G12" s="14">
        <f>'Q4'!$E$5</f>
        <v>365</v>
      </c>
      <c r="H12" s="14"/>
      <c r="I12" s="14"/>
      <c r="J12" s="14"/>
      <c r="K12" s="14"/>
      <c r="L12" s="14"/>
      <c r="M12" s="14"/>
      <c r="N12" s="14">
        <f>'Q4'!$F$5</f>
        <v>1583</v>
      </c>
    </row>
    <row r="13" spans="3:14" ht="18.600000000000001" collapsed="1" thickBot="1" x14ac:dyDescent="0.35">
      <c r="C13" s="17" t="s">
        <v>3</v>
      </c>
      <c r="D13" s="17"/>
      <c r="E13" s="17">
        <f>SUM(E9:E12)</f>
        <v>1149</v>
      </c>
      <c r="F13" s="17">
        <f>SUM(F9:F12)</f>
        <v>1026</v>
      </c>
      <c r="G13" s="17">
        <f>SUM(G9:G12)</f>
        <v>698</v>
      </c>
      <c r="H13" s="17">
        <f>SUM(H9:H12)</f>
        <v>520</v>
      </c>
      <c r="I13" s="17">
        <f>SUM(I9:I12)</f>
        <v>342</v>
      </c>
      <c r="J13" s="17">
        <f>SUM(J9:J12)</f>
        <v>397</v>
      </c>
      <c r="K13" s="17">
        <f>SUM(K9:K12)</f>
        <v>505</v>
      </c>
      <c r="L13" s="17">
        <f>SUM(L9:L12)</f>
        <v>290</v>
      </c>
      <c r="M13" s="17">
        <f>SUM(M9:M12)</f>
        <v>582</v>
      </c>
      <c r="N13" s="17">
        <f>SUM(N9:N12)</f>
        <v>5509</v>
      </c>
    </row>
    <row r="14" spans="3:14" hidden="1" outlineLevel="1" x14ac:dyDescent="0.3">
      <c r="C14" s="14"/>
      <c r="D14" s="14" t="s">
        <v>25</v>
      </c>
      <c r="E14" s="14">
        <f>'Q1'!$C$6</f>
        <v>498</v>
      </c>
      <c r="F14" s="14">
        <f>'Q1'!$D$6</f>
        <v>486</v>
      </c>
      <c r="G14" s="14">
        <f>'Q1'!$E$6</f>
        <v>302</v>
      </c>
      <c r="H14" s="14"/>
      <c r="I14" s="14"/>
      <c r="J14" s="14"/>
      <c r="K14" s="14"/>
      <c r="L14" s="14"/>
      <c r="M14" s="14"/>
      <c r="N14" s="14">
        <f>'Q1'!$F$6</f>
        <v>1286</v>
      </c>
    </row>
    <row r="15" spans="3:14" hidden="1" outlineLevel="1" collapsed="1" x14ac:dyDescent="0.3">
      <c r="C15" s="14"/>
      <c r="D15" s="14" t="s">
        <v>25</v>
      </c>
      <c r="E15" s="14"/>
      <c r="F15" s="14"/>
      <c r="G15" s="14"/>
      <c r="H15" s="14">
        <f>'Q2'!$C$6</f>
        <v>143</v>
      </c>
      <c r="I15" s="14">
        <f>'Q2'!$D$6</f>
        <v>102</v>
      </c>
      <c r="J15" s="14">
        <f>'Q2'!$E$6</f>
        <v>228</v>
      </c>
      <c r="K15" s="14"/>
      <c r="L15" s="14"/>
      <c r="M15" s="14"/>
      <c r="N15" s="14">
        <f>'Q2'!$F$6</f>
        <v>473</v>
      </c>
    </row>
    <row r="16" spans="3:14" hidden="1" outlineLevel="1" collapsed="1" x14ac:dyDescent="0.3">
      <c r="C16" s="14"/>
      <c r="D16" s="14" t="s">
        <v>25</v>
      </c>
      <c r="E16" s="14"/>
      <c r="F16" s="14"/>
      <c r="G16" s="14"/>
      <c r="H16" s="14"/>
      <c r="I16" s="14"/>
      <c r="J16" s="14"/>
      <c r="K16" s="14">
        <f>'Q3'!$C$6</f>
        <v>516</v>
      </c>
      <c r="L16" s="14">
        <f>'Q3'!$D$6</f>
        <v>495</v>
      </c>
      <c r="M16" s="14">
        <f>'Q3'!$E$6</f>
        <v>677</v>
      </c>
      <c r="N16" s="14">
        <f>'Q3'!$F$6</f>
        <v>1688</v>
      </c>
    </row>
    <row r="17" spans="3:17" hidden="1" outlineLevel="1" collapsed="1" x14ac:dyDescent="0.3">
      <c r="C17" s="14"/>
      <c r="D17" s="14" t="s">
        <v>25</v>
      </c>
      <c r="E17" s="14">
        <f>'Q4'!$C$6</f>
        <v>243</v>
      </c>
      <c r="F17" s="14">
        <f>'Q4'!$D$6</f>
        <v>495</v>
      </c>
      <c r="G17" s="14">
        <f>'Q4'!$E$6</f>
        <v>253</v>
      </c>
      <c r="H17" s="14"/>
      <c r="I17" s="14"/>
      <c r="J17" s="14"/>
      <c r="K17" s="14"/>
      <c r="L17" s="14"/>
      <c r="M17" s="14"/>
      <c r="N17" s="14">
        <f>'Q4'!$F$6</f>
        <v>991</v>
      </c>
    </row>
    <row r="18" spans="3:17" ht="18.600000000000001" collapsed="1" thickBot="1" x14ac:dyDescent="0.35">
      <c r="C18" s="17" t="s">
        <v>4</v>
      </c>
      <c r="D18" s="17"/>
      <c r="E18" s="17">
        <f>SUM(E14:E17)</f>
        <v>741</v>
      </c>
      <c r="F18" s="17">
        <f>SUM(F14:F17)</f>
        <v>981</v>
      </c>
      <c r="G18" s="17">
        <f>SUM(G14:G17)</f>
        <v>555</v>
      </c>
      <c r="H18" s="17">
        <f>SUM(H14:H17)</f>
        <v>143</v>
      </c>
      <c r="I18" s="17">
        <f>SUM(I14:I17)</f>
        <v>102</v>
      </c>
      <c r="J18" s="17">
        <f>SUM(J14:J17)</f>
        <v>228</v>
      </c>
      <c r="K18" s="17">
        <f>SUM(K14:K17)</f>
        <v>516</v>
      </c>
      <c r="L18" s="17">
        <f>SUM(L14:L17)</f>
        <v>495</v>
      </c>
      <c r="M18" s="17">
        <f>SUM(M14:M17)</f>
        <v>677</v>
      </c>
      <c r="N18" s="17">
        <f>SUM(N14:N17)</f>
        <v>4438</v>
      </c>
      <c r="Q18" s="20" t="s">
        <v>27</v>
      </c>
    </row>
    <row r="19" spans="3:17" hidden="1" outlineLevel="1" x14ac:dyDescent="0.3">
      <c r="C19" s="14"/>
      <c r="D19" s="14" t="s">
        <v>25</v>
      </c>
      <c r="E19" s="14">
        <f>'Q1'!$C$7</f>
        <v>327</v>
      </c>
      <c r="F19" s="14">
        <f>'Q1'!$D$7</f>
        <v>432</v>
      </c>
      <c r="G19" s="14">
        <f>'Q1'!$E$7</f>
        <v>292</v>
      </c>
      <c r="H19" s="14"/>
      <c r="I19" s="14"/>
      <c r="J19" s="14"/>
      <c r="K19" s="14"/>
      <c r="L19" s="14"/>
      <c r="M19" s="14"/>
      <c r="N19" s="14">
        <f>'Q1'!$F$7</f>
        <v>1051</v>
      </c>
    </row>
    <row r="20" spans="3:17" hidden="1" outlineLevel="1" collapsed="1" x14ac:dyDescent="0.3">
      <c r="C20" s="14"/>
      <c r="D20" s="14" t="s">
        <v>25</v>
      </c>
      <c r="E20" s="14"/>
      <c r="F20" s="14"/>
      <c r="G20" s="14"/>
      <c r="H20" s="14">
        <f>'Q2'!$C$7</f>
        <v>429</v>
      </c>
      <c r="I20" s="14">
        <f>'Q2'!$D$7</f>
        <v>300</v>
      </c>
      <c r="J20" s="14">
        <f>'Q2'!$E$7</f>
        <v>334</v>
      </c>
      <c r="K20" s="14"/>
      <c r="L20" s="14"/>
      <c r="M20" s="14"/>
      <c r="N20" s="14">
        <f>'Q2'!$F$7</f>
        <v>1063</v>
      </c>
    </row>
    <row r="21" spans="3:17" hidden="1" outlineLevel="1" collapsed="1" x14ac:dyDescent="0.3">
      <c r="C21" s="14"/>
      <c r="D21" s="14" t="s">
        <v>25</v>
      </c>
      <c r="E21" s="14"/>
      <c r="F21" s="14"/>
      <c r="G21" s="14"/>
      <c r="H21" s="14"/>
      <c r="I21" s="14"/>
      <c r="J21" s="14"/>
      <c r="K21" s="14">
        <f>'Q3'!$C$7</f>
        <v>692</v>
      </c>
      <c r="L21" s="14">
        <f>'Q3'!$D$7</f>
        <v>515</v>
      </c>
      <c r="M21" s="14">
        <f>'Q3'!$E$7</f>
        <v>208</v>
      </c>
      <c r="N21" s="14">
        <f>'Q3'!$F$7</f>
        <v>1415</v>
      </c>
    </row>
    <row r="22" spans="3:17" hidden="1" outlineLevel="1" collapsed="1" x14ac:dyDescent="0.3">
      <c r="C22" s="14"/>
      <c r="D22" s="14" t="s">
        <v>25</v>
      </c>
      <c r="E22" s="14">
        <f>'Q4'!$C$7</f>
        <v>490</v>
      </c>
      <c r="F22" s="14">
        <f>'Q4'!$D$7</f>
        <v>117</v>
      </c>
      <c r="G22" s="14">
        <f>'Q4'!$E$7</f>
        <v>590</v>
      </c>
      <c r="H22" s="14"/>
      <c r="I22" s="14"/>
      <c r="J22" s="14"/>
      <c r="K22" s="14"/>
      <c r="L22" s="14"/>
      <c r="M22" s="14"/>
      <c r="N22" s="14">
        <f>'Q4'!$F$7</f>
        <v>1197</v>
      </c>
    </row>
    <row r="23" spans="3:17" ht="18" collapsed="1" x14ac:dyDescent="0.3">
      <c r="C23" s="17" t="s">
        <v>5</v>
      </c>
      <c r="D23" s="17"/>
      <c r="E23" s="17">
        <f>SUM(E19:E22)</f>
        <v>817</v>
      </c>
      <c r="F23" s="17">
        <f>SUM(F19:F22)</f>
        <v>549</v>
      </c>
      <c r="G23" s="17">
        <f>SUM(G19:G22)</f>
        <v>882</v>
      </c>
      <c r="H23" s="17">
        <f>SUM(H19:H22)</f>
        <v>429</v>
      </c>
      <c r="I23" s="17">
        <f>SUM(I19:I22)</f>
        <v>300</v>
      </c>
      <c r="J23" s="17">
        <f>SUM(J19:J22)</f>
        <v>334</v>
      </c>
      <c r="K23" s="17">
        <f>SUM(K19:K22)</f>
        <v>692</v>
      </c>
      <c r="L23" s="17">
        <f>SUM(L19:L22)</f>
        <v>515</v>
      </c>
      <c r="M23" s="17">
        <f>SUM(M19:M22)</f>
        <v>208</v>
      </c>
      <c r="N23" s="17">
        <f>SUM(N19:N22)</f>
        <v>4726</v>
      </c>
    </row>
    <row r="24" spans="3:17" hidden="1" outlineLevel="1" x14ac:dyDescent="0.3">
      <c r="C24" s="14"/>
      <c r="D24" s="14" t="s">
        <v>25</v>
      </c>
      <c r="E24" s="14">
        <f>'Q1'!$C$8</f>
        <v>394</v>
      </c>
      <c r="F24" s="14">
        <f>'Q1'!$D$8</f>
        <v>254</v>
      </c>
      <c r="G24" s="14">
        <f>'Q1'!$E$8</f>
        <v>244</v>
      </c>
      <c r="H24" s="14"/>
      <c r="I24" s="14"/>
      <c r="J24" s="14"/>
      <c r="K24" s="14"/>
      <c r="L24" s="14"/>
      <c r="M24" s="14"/>
      <c r="N24" s="14">
        <f>'Q1'!$F$8</f>
        <v>892</v>
      </c>
    </row>
    <row r="25" spans="3:17" hidden="1" outlineLevel="1" collapsed="1" x14ac:dyDescent="0.3">
      <c r="C25" s="14"/>
      <c r="D25" s="14" t="s">
        <v>25</v>
      </c>
      <c r="E25" s="14"/>
      <c r="F25" s="14"/>
      <c r="G25" s="14"/>
      <c r="H25" s="14">
        <f>'Q2'!$C$8</f>
        <v>335</v>
      </c>
      <c r="I25" s="14">
        <f>'Q2'!$D$8</f>
        <v>173</v>
      </c>
      <c r="J25" s="14">
        <f>'Q2'!$E$8</f>
        <v>542</v>
      </c>
      <c r="K25" s="14"/>
      <c r="L25" s="14"/>
      <c r="M25" s="14"/>
      <c r="N25" s="14">
        <f>'Q2'!$F$8</f>
        <v>1050</v>
      </c>
    </row>
    <row r="26" spans="3:17" hidden="1" outlineLevel="1" collapsed="1" x14ac:dyDescent="0.3">
      <c r="C26" s="14"/>
      <c r="D26" s="14" t="s">
        <v>25</v>
      </c>
      <c r="E26" s="14"/>
      <c r="F26" s="14"/>
      <c r="G26" s="14"/>
      <c r="H26" s="14"/>
      <c r="I26" s="14"/>
      <c r="J26" s="14"/>
      <c r="K26" s="14">
        <f>'Q3'!$C$8</f>
        <v>621</v>
      </c>
      <c r="L26" s="14">
        <f>'Q3'!$D$8</f>
        <v>643</v>
      </c>
      <c r="M26" s="14">
        <f>'Q3'!$E$8</f>
        <v>477</v>
      </c>
      <c r="N26" s="14">
        <f>'Q3'!$F$8</f>
        <v>1741</v>
      </c>
    </row>
    <row r="27" spans="3:17" hidden="1" outlineLevel="1" collapsed="1" x14ac:dyDescent="0.3">
      <c r="C27" s="14"/>
      <c r="D27" s="14" t="s">
        <v>25</v>
      </c>
      <c r="E27" s="14">
        <f>'Q4'!$C$8</f>
        <v>176</v>
      </c>
      <c r="F27" s="14">
        <f>'Q4'!$D$8</f>
        <v>336</v>
      </c>
      <c r="G27" s="14">
        <f>'Q4'!$E$8</f>
        <v>296</v>
      </c>
      <c r="H27" s="14"/>
      <c r="I27" s="14"/>
      <c r="J27" s="14"/>
      <c r="K27" s="14"/>
      <c r="L27" s="14"/>
      <c r="M27" s="14"/>
      <c r="N27" s="14">
        <f>'Q4'!$F$8</f>
        <v>808</v>
      </c>
    </row>
    <row r="28" spans="3:17" ht="18" collapsed="1" x14ac:dyDescent="0.3">
      <c r="C28" s="17" t="s">
        <v>6</v>
      </c>
      <c r="D28" s="17"/>
      <c r="E28" s="17">
        <f>SUM(E24:E27)</f>
        <v>570</v>
      </c>
      <c r="F28" s="17">
        <f>SUM(F24:F27)</f>
        <v>590</v>
      </c>
      <c r="G28" s="17">
        <f>SUM(G24:G27)</f>
        <v>540</v>
      </c>
      <c r="H28" s="17">
        <f>SUM(H24:H27)</f>
        <v>335</v>
      </c>
      <c r="I28" s="17">
        <f>SUM(I24:I27)</f>
        <v>173</v>
      </c>
      <c r="J28" s="17">
        <f>SUM(J24:J27)</f>
        <v>542</v>
      </c>
      <c r="K28" s="17">
        <f>SUM(K24:K27)</f>
        <v>621</v>
      </c>
      <c r="L28" s="17">
        <f>SUM(L24:L27)</f>
        <v>643</v>
      </c>
      <c r="M28" s="17">
        <f>SUM(M24:M27)</f>
        <v>477</v>
      </c>
      <c r="N28" s="17">
        <f>SUM(N24:N27)</f>
        <v>4491</v>
      </c>
    </row>
    <row r="29" spans="3:17" hidden="1" outlineLevel="1" x14ac:dyDescent="0.3">
      <c r="C29" s="14"/>
      <c r="D29" s="14" t="s">
        <v>25</v>
      </c>
      <c r="E29" s="14">
        <f>'Q1'!$C$9</f>
        <v>272</v>
      </c>
      <c r="F29" s="14">
        <f>'Q1'!$D$9</f>
        <v>372</v>
      </c>
      <c r="G29" s="14">
        <f>'Q1'!$E$9</f>
        <v>360</v>
      </c>
      <c r="H29" s="14"/>
      <c r="I29" s="14"/>
      <c r="J29" s="14"/>
      <c r="K29" s="14"/>
      <c r="L29" s="14"/>
      <c r="M29" s="14"/>
      <c r="N29" s="14">
        <f>'Q1'!$F$9</f>
        <v>1004</v>
      </c>
    </row>
    <row r="30" spans="3:17" hidden="1" outlineLevel="1" collapsed="1" x14ac:dyDescent="0.3">
      <c r="C30" s="14"/>
      <c r="D30" s="14" t="s">
        <v>25</v>
      </c>
      <c r="E30" s="14"/>
      <c r="F30" s="14"/>
      <c r="G30" s="14"/>
      <c r="H30" s="14">
        <f>'Q2'!$C$9</f>
        <v>420</v>
      </c>
      <c r="I30" s="14">
        <f>'Q2'!$D$9</f>
        <v>360</v>
      </c>
      <c r="J30" s="14">
        <f>'Q2'!$E$9</f>
        <v>361</v>
      </c>
      <c r="K30" s="14"/>
      <c r="L30" s="14"/>
      <c r="M30" s="14"/>
      <c r="N30" s="14">
        <f>'Q2'!$F$9</f>
        <v>1141</v>
      </c>
    </row>
    <row r="31" spans="3:17" hidden="1" outlineLevel="1" collapsed="1" x14ac:dyDescent="0.3">
      <c r="C31" s="14"/>
      <c r="D31" s="14" t="s">
        <v>25</v>
      </c>
      <c r="E31" s="14"/>
      <c r="F31" s="14"/>
      <c r="G31" s="14"/>
      <c r="H31" s="14"/>
      <c r="I31" s="14"/>
      <c r="J31" s="14"/>
      <c r="K31" s="14">
        <f>'Q3'!$C$9</f>
        <v>461</v>
      </c>
      <c r="L31" s="14">
        <f>'Q3'!$D$9</f>
        <v>379</v>
      </c>
      <c r="M31" s="14">
        <f>'Q3'!$E$9</f>
        <v>282</v>
      </c>
      <c r="N31" s="14">
        <f>'Q3'!$F$9</f>
        <v>1122</v>
      </c>
    </row>
    <row r="32" spans="3:17" hidden="1" outlineLevel="1" collapsed="1" x14ac:dyDescent="0.3">
      <c r="C32" s="14"/>
      <c r="D32" s="14" t="s">
        <v>25</v>
      </c>
      <c r="E32" s="14">
        <f>'Q4'!$C$9</f>
        <v>561</v>
      </c>
      <c r="F32" s="14">
        <f>'Q4'!$D$9</f>
        <v>702</v>
      </c>
      <c r="G32" s="14">
        <f>'Q4'!$E$9</f>
        <v>171</v>
      </c>
      <c r="H32" s="14"/>
      <c r="I32" s="14"/>
      <c r="J32" s="14"/>
      <c r="K32" s="14"/>
      <c r="L32" s="14"/>
      <c r="M32" s="14"/>
      <c r="N32" s="14">
        <f>'Q4'!$F$9</f>
        <v>1434</v>
      </c>
    </row>
    <row r="33" spans="3:14" ht="18" collapsed="1" x14ac:dyDescent="0.3">
      <c r="C33" s="17" t="s">
        <v>7</v>
      </c>
      <c r="D33" s="17"/>
      <c r="E33" s="17">
        <f>SUM(E29:E32)</f>
        <v>833</v>
      </c>
      <c r="F33" s="17">
        <f>SUM(F29:F32)</f>
        <v>1074</v>
      </c>
      <c r="G33" s="17">
        <f>SUM(G29:G32)</f>
        <v>531</v>
      </c>
      <c r="H33" s="17">
        <f>SUM(H29:H32)</f>
        <v>420</v>
      </c>
      <c r="I33" s="17">
        <f>SUM(I29:I32)</f>
        <v>360</v>
      </c>
      <c r="J33" s="17">
        <f>SUM(J29:J32)</f>
        <v>361</v>
      </c>
      <c r="K33" s="17">
        <f>SUM(K29:K32)</f>
        <v>461</v>
      </c>
      <c r="L33" s="17">
        <f>SUM(L29:L32)</f>
        <v>379</v>
      </c>
      <c r="M33" s="17">
        <f>SUM(M29:M32)</f>
        <v>282</v>
      </c>
      <c r="N33" s="17">
        <f>SUM(N29:N32)</f>
        <v>4701</v>
      </c>
    </row>
    <row r="34" spans="3:14" outlineLevel="1" x14ac:dyDescent="0.3">
      <c r="C34" s="14"/>
      <c r="D34" s="14" t="s">
        <v>25</v>
      </c>
      <c r="E34" s="14">
        <f>'Q1'!$C$10</f>
        <v>455</v>
      </c>
      <c r="F34" s="14">
        <f>'Q1'!$D$10</f>
        <v>218</v>
      </c>
      <c r="G34" s="14">
        <f>'Q1'!$E$10</f>
        <v>287</v>
      </c>
      <c r="H34" s="14"/>
      <c r="I34" s="14"/>
      <c r="J34" s="14"/>
      <c r="K34" s="14"/>
      <c r="L34" s="14"/>
      <c r="M34" s="14"/>
      <c r="N34" s="14">
        <f>'Q1'!$F$10</f>
        <v>960</v>
      </c>
    </row>
    <row r="35" spans="3:14" outlineLevel="1" collapsed="1" x14ac:dyDescent="0.3">
      <c r="C35" s="14"/>
      <c r="D35" s="14" t="s">
        <v>25</v>
      </c>
      <c r="E35" s="14"/>
      <c r="F35" s="14"/>
      <c r="G35" s="14"/>
      <c r="H35" s="14">
        <f>'Q2'!$C$10</f>
        <v>230</v>
      </c>
      <c r="I35" s="14">
        <f>'Q2'!$D$10</f>
        <v>539</v>
      </c>
      <c r="J35" s="14">
        <f>'Q2'!$E$10</f>
        <v>114</v>
      </c>
      <c r="K35" s="14"/>
      <c r="L35" s="14"/>
      <c r="M35" s="14"/>
      <c r="N35" s="14">
        <f>'Q2'!$F$10</f>
        <v>883</v>
      </c>
    </row>
    <row r="36" spans="3:14" outlineLevel="1" collapsed="1" x14ac:dyDescent="0.3">
      <c r="C36" s="14"/>
      <c r="D36" s="14" t="s">
        <v>25</v>
      </c>
      <c r="E36" s="14"/>
      <c r="F36" s="14"/>
      <c r="G36" s="14"/>
      <c r="H36" s="14"/>
      <c r="I36" s="14"/>
      <c r="J36" s="14"/>
      <c r="K36" s="14">
        <f>'Q3'!$C$10</f>
        <v>409</v>
      </c>
      <c r="L36" s="14">
        <f>'Q3'!$D$10</f>
        <v>309</v>
      </c>
      <c r="M36" s="14">
        <f>'Q3'!$E$10</f>
        <v>539</v>
      </c>
      <c r="N36" s="14">
        <f>'Q3'!$F$10</f>
        <v>1257</v>
      </c>
    </row>
    <row r="37" spans="3:14" outlineLevel="1" collapsed="1" x14ac:dyDescent="0.3">
      <c r="C37" s="14"/>
      <c r="D37" s="14" t="s">
        <v>25</v>
      </c>
      <c r="E37" s="14">
        <f>'Q4'!$C$10</f>
        <v>322</v>
      </c>
      <c r="F37" s="14">
        <f>'Q4'!$D$10</f>
        <v>450</v>
      </c>
      <c r="G37" s="14">
        <f>'Q4'!$E$10</f>
        <v>656</v>
      </c>
      <c r="H37" s="14"/>
      <c r="I37" s="14"/>
      <c r="J37" s="14"/>
      <c r="K37" s="14"/>
      <c r="L37" s="14"/>
      <c r="M37" s="14"/>
      <c r="N37" s="14">
        <f>'Q4'!$F$10</f>
        <v>1428</v>
      </c>
    </row>
    <row r="38" spans="3:14" ht="18" x14ac:dyDescent="0.3">
      <c r="C38" s="17" t="s">
        <v>8</v>
      </c>
      <c r="D38" s="17"/>
      <c r="E38" s="17">
        <f>SUM(E34:E37)</f>
        <v>777</v>
      </c>
      <c r="F38" s="17">
        <f>SUM(F34:F37)</f>
        <v>668</v>
      </c>
      <c r="G38" s="17">
        <f>SUM(G34:G37)</f>
        <v>943</v>
      </c>
      <c r="H38" s="17">
        <f>SUM(H34:H37)</f>
        <v>230</v>
      </c>
      <c r="I38" s="17">
        <f>SUM(I34:I37)</f>
        <v>539</v>
      </c>
      <c r="J38" s="17">
        <f>SUM(J34:J37)</f>
        <v>114</v>
      </c>
      <c r="K38" s="17">
        <f>SUM(K34:K37)</f>
        <v>409</v>
      </c>
      <c r="L38" s="17">
        <f>SUM(L34:L37)</f>
        <v>309</v>
      </c>
      <c r="M38" s="17">
        <f>SUM(M34:M37)</f>
        <v>539</v>
      </c>
      <c r="N38" s="17">
        <f>SUM(N34:N37)</f>
        <v>4528</v>
      </c>
    </row>
    <row r="39" spans="3:14" outlineLevel="1" x14ac:dyDescent="0.3">
      <c r="C39" s="14"/>
      <c r="D39" s="14" t="s">
        <v>25</v>
      </c>
      <c r="E39" s="14">
        <f>'Q1'!$C$11</f>
        <v>346</v>
      </c>
      <c r="F39" s="14">
        <f>'Q1'!$D$11</f>
        <v>383</v>
      </c>
      <c r="G39" s="14">
        <f>'Q1'!$E$11</f>
        <v>291</v>
      </c>
      <c r="H39" s="14"/>
      <c r="I39" s="14"/>
      <c r="J39" s="14"/>
      <c r="K39" s="14"/>
      <c r="L39" s="14"/>
      <c r="M39" s="14"/>
      <c r="N39" s="14">
        <f>'Q1'!$F$11</f>
        <v>1020</v>
      </c>
    </row>
    <row r="40" spans="3:14" outlineLevel="1" collapsed="1" x14ac:dyDescent="0.3">
      <c r="C40" s="14"/>
      <c r="D40" s="14" t="s">
        <v>25</v>
      </c>
      <c r="E40" s="14"/>
      <c r="F40" s="14"/>
      <c r="G40" s="14"/>
      <c r="H40" s="14">
        <f>'Q2'!$C$11</f>
        <v>254</v>
      </c>
      <c r="I40" s="14">
        <f>'Q2'!$D$11</f>
        <v>561</v>
      </c>
      <c r="J40" s="14">
        <f>'Q2'!$E$11</f>
        <v>365</v>
      </c>
      <c r="K40" s="14"/>
      <c r="L40" s="14"/>
      <c r="M40" s="14"/>
      <c r="N40" s="14">
        <f>'Q2'!$F$11</f>
        <v>1180</v>
      </c>
    </row>
    <row r="41" spans="3:14" outlineLevel="1" collapsed="1" x14ac:dyDescent="0.3">
      <c r="C41" s="14"/>
      <c r="D41" s="14" t="s">
        <v>25</v>
      </c>
      <c r="E41" s="14"/>
      <c r="F41" s="14"/>
      <c r="G41" s="14"/>
      <c r="H41" s="14"/>
      <c r="I41" s="14"/>
      <c r="J41" s="14"/>
      <c r="K41" s="14">
        <f>'Q3'!$C$11</f>
        <v>608</v>
      </c>
      <c r="L41" s="14">
        <f>'Q3'!$D$11</f>
        <v>444</v>
      </c>
      <c r="M41" s="14">
        <f>'Q3'!$E$11</f>
        <v>237</v>
      </c>
      <c r="N41" s="14">
        <f>'Q3'!$F$11</f>
        <v>1289</v>
      </c>
    </row>
    <row r="42" spans="3:14" outlineLevel="1" collapsed="1" x14ac:dyDescent="0.3">
      <c r="C42" s="14"/>
      <c r="D42" s="14" t="s">
        <v>25</v>
      </c>
      <c r="E42" s="14">
        <f>'Q4'!$C$11</f>
        <v>446</v>
      </c>
      <c r="F42" s="14">
        <f>'Q4'!$D$11</f>
        <v>529</v>
      </c>
      <c r="G42" s="14">
        <f>'Q4'!$E$11</f>
        <v>563</v>
      </c>
      <c r="H42" s="14"/>
      <c r="I42" s="14"/>
      <c r="J42" s="14"/>
      <c r="K42" s="14"/>
      <c r="L42" s="14"/>
      <c r="M42" s="14"/>
      <c r="N42" s="14">
        <f>'Q4'!$F$11</f>
        <v>1538</v>
      </c>
    </row>
    <row r="43" spans="3:14" ht="18" x14ac:dyDescent="0.3">
      <c r="C43" s="17" t="s">
        <v>10</v>
      </c>
      <c r="D43" s="17"/>
      <c r="E43" s="17">
        <f>SUM(E39:E42)</f>
        <v>792</v>
      </c>
      <c r="F43" s="17">
        <f>SUM(F39:F42)</f>
        <v>912</v>
      </c>
      <c r="G43" s="17">
        <f>SUM(G39:G42)</f>
        <v>854</v>
      </c>
      <c r="H43" s="17">
        <f>SUM(H39:H42)</f>
        <v>254</v>
      </c>
      <c r="I43" s="17">
        <f>SUM(I39:I42)</f>
        <v>561</v>
      </c>
      <c r="J43" s="17">
        <f>SUM(J39:J42)</f>
        <v>365</v>
      </c>
      <c r="K43" s="17">
        <f>SUM(K39:K42)</f>
        <v>608</v>
      </c>
      <c r="L43" s="17">
        <f>SUM(L39:L42)</f>
        <v>444</v>
      </c>
      <c r="M43" s="17">
        <f>SUM(M39:M42)</f>
        <v>237</v>
      </c>
      <c r="N43" s="17">
        <f>SUM(N39:N42)</f>
        <v>5027</v>
      </c>
    </row>
    <row r="44" spans="3:14" hidden="1" outlineLevel="1" x14ac:dyDescent="0.3">
      <c r="C44" s="14"/>
      <c r="D44" s="14" t="s">
        <v>25</v>
      </c>
      <c r="E44" s="14">
        <f>'Q1'!$C$12</f>
        <v>475</v>
      </c>
      <c r="F44" s="14">
        <f>'Q1'!$D$12</f>
        <v>393</v>
      </c>
      <c r="G44" s="14">
        <f>'Q1'!$E$12</f>
        <v>206</v>
      </c>
      <c r="H44" s="14"/>
      <c r="I44" s="14"/>
      <c r="J44" s="14"/>
      <c r="K44" s="14"/>
      <c r="L44" s="14"/>
      <c r="M44" s="14"/>
      <c r="N44" s="14">
        <f>'Q1'!$F$12</f>
        <v>1074</v>
      </c>
    </row>
    <row r="45" spans="3:14" hidden="1" outlineLevel="1" collapsed="1" x14ac:dyDescent="0.3">
      <c r="C45" s="14"/>
      <c r="D45" s="14" t="s">
        <v>25</v>
      </c>
      <c r="E45" s="14"/>
      <c r="F45" s="14"/>
      <c r="G45" s="14"/>
      <c r="H45" s="14">
        <f>'Q2'!$C$12</f>
        <v>581</v>
      </c>
      <c r="I45" s="14">
        <f>'Q2'!$D$12</f>
        <v>586</v>
      </c>
      <c r="J45" s="14">
        <f>'Q2'!$E$12</f>
        <v>332</v>
      </c>
      <c r="K45" s="14"/>
      <c r="L45" s="14"/>
      <c r="M45" s="14"/>
      <c r="N45" s="14">
        <f>'Q2'!$F$12</f>
        <v>1499</v>
      </c>
    </row>
    <row r="46" spans="3:14" hidden="1" outlineLevel="1" collapsed="1" x14ac:dyDescent="0.3">
      <c r="C46" s="14"/>
      <c r="D46" s="14" t="s">
        <v>25</v>
      </c>
      <c r="E46" s="14"/>
      <c r="F46" s="14"/>
      <c r="G46" s="14"/>
      <c r="H46" s="14"/>
      <c r="I46" s="14"/>
      <c r="J46" s="14"/>
      <c r="K46" s="14">
        <f>'Q3'!$C$12</f>
        <v>579</v>
      </c>
      <c r="L46" s="14">
        <f>'Q3'!$D$12</f>
        <v>655</v>
      </c>
      <c r="M46" s="14">
        <f>'Q3'!$E$12</f>
        <v>412</v>
      </c>
      <c r="N46" s="14">
        <f>'Q3'!$F$12</f>
        <v>1646</v>
      </c>
    </row>
    <row r="47" spans="3:14" hidden="1" outlineLevel="1" collapsed="1" x14ac:dyDescent="0.3">
      <c r="C47" s="14"/>
      <c r="D47" s="14" t="s">
        <v>25</v>
      </c>
      <c r="E47" s="14">
        <f>'Q4'!$C$12</f>
        <v>462</v>
      </c>
      <c r="F47" s="14">
        <f>'Q4'!$D$12</f>
        <v>635</v>
      </c>
      <c r="G47" s="14">
        <f>'Q4'!$E$12</f>
        <v>296</v>
      </c>
      <c r="H47" s="14"/>
      <c r="I47" s="14"/>
      <c r="J47" s="14"/>
      <c r="K47" s="14"/>
      <c r="L47" s="14"/>
      <c r="M47" s="14"/>
      <c r="N47" s="14">
        <f>'Q4'!$F$12</f>
        <v>1393</v>
      </c>
    </row>
    <row r="48" spans="3:14" ht="18" collapsed="1" x14ac:dyDescent="0.3">
      <c r="C48" s="17" t="s">
        <v>9</v>
      </c>
      <c r="D48" s="17"/>
      <c r="E48" s="17">
        <f>SUM(E44:E47)</f>
        <v>937</v>
      </c>
      <c r="F48" s="17">
        <f>SUM(F44:F47)</f>
        <v>1028</v>
      </c>
      <c r="G48" s="17">
        <f>SUM(G44:G47)</f>
        <v>502</v>
      </c>
      <c r="H48" s="17">
        <f>SUM(H44:H47)</f>
        <v>581</v>
      </c>
      <c r="I48" s="17">
        <f>SUM(I44:I47)</f>
        <v>586</v>
      </c>
      <c r="J48" s="17">
        <f>SUM(J44:J47)</f>
        <v>332</v>
      </c>
      <c r="K48" s="17">
        <f>SUM(K44:K47)</f>
        <v>579</v>
      </c>
      <c r="L48" s="17">
        <f>SUM(L44:L47)</f>
        <v>655</v>
      </c>
      <c r="M48" s="17">
        <f>SUM(M44:M47)</f>
        <v>412</v>
      </c>
      <c r="N48" s="17">
        <f>SUM(N44:N47)</f>
        <v>5612</v>
      </c>
    </row>
    <row r="49" spans="3:14" outlineLevel="1" x14ac:dyDescent="0.3">
      <c r="C49" s="14"/>
      <c r="D49" s="14" t="s">
        <v>25</v>
      </c>
      <c r="E49" s="14">
        <f>'Q1'!$C$13</f>
        <v>4623</v>
      </c>
      <c r="F49" s="14">
        <f>'Q1'!$D$13</f>
        <v>3428</v>
      </c>
      <c r="G49" s="14">
        <f>'Q1'!$E$13</f>
        <v>2609</v>
      </c>
      <c r="H49" s="14"/>
      <c r="I49" s="14"/>
      <c r="J49" s="14"/>
      <c r="K49" s="14"/>
      <c r="L49" s="14"/>
      <c r="M49" s="14"/>
      <c r="N49" s="14">
        <f>'Q1'!$F$13</f>
        <v>10660</v>
      </c>
    </row>
    <row r="50" spans="3:14" outlineLevel="1" collapsed="1" x14ac:dyDescent="0.3">
      <c r="C50" s="14"/>
      <c r="D50" s="14" t="s">
        <v>25</v>
      </c>
      <c r="E50" s="14"/>
      <c r="F50" s="14"/>
      <c r="G50" s="14"/>
      <c r="H50" s="14">
        <f>'Q2'!$C$13</f>
        <v>3099</v>
      </c>
      <c r="I50" s="14">
        <f>'Q2'!$D$13</f>
        <v>3476</v>
      </c>
      <c r="J50" s="14">
        <f>'Q2'!$E$13</f>
        <v>3103</v>
      </c>
      <c r="K50" s="14"/>
      <c r="L50" s="14"/>
      <c r="M50" s="14"/>
      <c r="N50" s="14">
        <f>'Q2'!$F$13</f>
        <v>9678</v>
      </c>
    </row>
    <row r="51" spans="3:14" outlineLevel="1" collapsed="1" x14ac:dyDescent="0.3">
      <c r="C51" s="14"/>
      <c r="D51" s="14" t="s">
        <v>25</v>
      </c>
      <c r="E51" s="14"/>
      <c r="F51" s="14"/>
      <c r="G51" s="14"/>
      <c r="H51" s="14"/>
      <c r="I51" s="14"/>
      <c r="J51" s="14"/>
      <c r="K51" s="14">
        <f>'Q3'!$C$13</f>
        <v>5086</v>
      </c>
      <c r="L51" s="14">
        <f>'Q3'!$D$13</f>
        <v>4139</v>
      </c>
      <c r="M51" s="14">
        <f>'Q3'!$E$13</f>
        <v>4035</v>
      </c>
      <c r="N51" s="14">
        <f>'Q3'!$F$13</f>
        <v>13260</v>
      </c>
    </row>
    <row r="52" spans="3:14" outlineLevel="1" collapsed="1" x14ac:dyDescent="0.3">
      <c r="C52" s="14"/>
      <c r="D52" s="14" t="s">
        <v>25</v>
      </c>
      <c r="E52" s="14">
        <f>'Q4'!$C$13</f>
        <v>3698</v>
      </c>
      <c r="F52" s="14">
        <f>'Q4'!$D$13</f>
        <v>4286</v>
      </c>
      <c r="G52" s="14">
        <f>'Q4'!$E$13</f>
        <v>3488</v>
      </c>
      <c r="H52" s="14"/>
      <c r="I52" s="14"/>
      <c r="J52" s="14"/>
      <c r="K52" s="14"/>
      <c r="L52" s="14"/>
      <c r="M52" s="14"/>
      <c r="N52" s="14">
        <f>'Q4'!$F$13</f>
        <v>11472</v>
      </c>
    </row>
    <row r="53" spans="3:14" ht="18" x14ac:dyDescent="0.3">
      <c r="C53" s="17" t="s">
        <v>11</v>
      </c>
      <c r="D53" s="17"/>
      <c r="E53" s="17">
        <f>SUM(E49:E52)</f>
        <v>8321</v>
      </c>
      <c r="F53" s="17">
        <f>SUM(F49:F52)</f>
        <v>7714</v>
      </c>
      <c r="G53" s="17">
        <f>SUM(G49:G52)</f>
        <v>6097</v>
      </c>
      <c r="H53" s="17">
        <f>SUM(H49:H52)</f>
        <v>3099</v>
      </c>
      <c r="I53" s="17">
        <f>SUM(I49:I52)</f>
        <v>3476</v>
      </c>
      <c r="J53" s="17">
        <f>SUM(J49:J52)</f>
        <v>3103</v>
      </c>
      <c r="K53" s="17">
        <f>SUM(K49:K52)</f>
        <v>5086</v>
      </c>
      <c r="L53" s="17">
        <f>SUM(L49:L52)</f>
        <v>4139</v>
      </c>
      <c r="M53" s="17">
        <f>SUM(M49:M52)</f>
        <v>4035</v>
      </c>
      <c r="N53" s="17">
        <f>SUM(N49:N52)</f>
        <v>45070</v>
      </c>
    </row>
  </sheetData>
  <dataConsolidate leftLabels="1" topLabels="1" link="1">
    <dataRefs count="4">
      <dataRef ref="B3:F13" sheet="Q1"/>
      <dataRef ref="B3:F13" sheet="Q2"/>
      <dataRef ref="B3:F13" sheet="Q3"/>
      <dataRef ref="B3:F13" sheet="Q4"/>
    </dataRefs>
  </dataConsolidate>
  <mergeCells count="1">
    <mergeCell ref="C1:N2"/>
  </mergeCells>
  <pageMargins left="0.7" right="0.7" top="0.75" bottom="0.75" header="0.3" footer="0.3"/>
  <ignoredErrors>
    <ignoredError sqref="E8:M53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D469-6B59-4A2B-83EA-293021030272}">
  <dimension ref="A1:F13"/>
  <sheetViews>
    <sheetView workbookViewId="0">
      <selection activeCell="C6" sqref="C6"/>
    </sheetView>
  </sheetViews>
  <sheetFormatPr defaultRowHeight="14.4" x14ac:dyDescent="0.3"/>
  <cols>
    <col min="2" max="2" width="18.88671875" customWidth="1"/>
    <col min="3" max="3" width="12.6640625" customWidth="1"/>
    <col min="4" max="4" width="12.21875" customWidth="1"/>
    <col min="5" max="5" width="14.33203125" customWidth="1"/>
    <col min="6" max="6" width="15.33203125" customWidth="1"/>
  </cols>
  <sheetData>
    <row r="1" spans="1:6" ht="29.4" customHeight="1" thickBot="1" x14ac:dyDescent="0.35">
      <c r="A1" s="12" t="s">
        <v>15</v>
      </c>
    </row>
    <row r="2" spans="1:6" ht="28.2" customHeight="1" x14ac:dyDescent="0.3">
      <c r="B2" s="3" t="s">
        <v>0</v>
      </c>
      <c r="C2" s="4"/>
      <c r="D2" s="4"/>
      <c r="E2" s="4"/>
      <c r="F2" s="5"/>
    </row>
    <row r="3" spans="1:6" ht="23.4" x14ac:dyDescent="0.4">
      <c r="B3" s="11" t="s">
        <v>1</v>
      </c>
      <c r="C3" s="1" t="s">
        <v>12</v>
      </c>
      <c r="D3" s="1" t="s">
        <v>13</v>
      </c>
      <c r="E3" s="1" t="s">
        <v>14</v>
      </c>
      <c r="F3" s="6" t="s">
        <v>11</v>
      </c>
    </row>
    <row r="4" spans="1:6" ht="21" x14ac:dyDescent="0.4">
      <c r="B4" s="11" t="s">
        <v>2</v>
      </c>
      <c r="C4" s="2">
        <v>1369</v>
      </c>
      <c r="D4" s="2">
        <v>420</v>
      </c>
      <c r="E4" s="2">
        <v>294</v>
      </c>
      <c r="F4" s="7">
        <f>SUM(C4:E4)</f>
        <v>2083</v>
      </c>
    </row>
    <row r="5" spans="1:6" ht="21" x14ac:dyDescent="0.4">
      <c r="B5" s="11" t="s">
        <v>3</v>
      </c>
      <c r="C5" s="2">
        <v>487</v>
      </c>
      <c r="D5" s="2">
        <v>470</v>
      </c>
      <c r="E5" s="2">
        <v>333</v>
      </c>
      <c r="F5" s="7">
        <f t="shared" ref="F5:F12" si="0">SUM(C5:E5)</f>
        <v>1290</v>
      </c>
    </row>
    <row r="6" spans="1:6" ht="21" x14ac:dyDescent="0.4">
      <c r="B6" s="11" t="s">
        <v>4</v>
      </c>
      <c r="C6" s="2">
        <v>498</v>
      </c>
      <c r="D6" s="2">
        <v>486</v>
      </c>
      <c r="E6" s="2">
        <v>302</v>
      </c>
      <c r="F6" s="7">
        <f t="shared" si="0"/>
        <v>1286</v>
      </c>
    </row>
    <row r="7" spans="1:6" ht="21" x14ac:dyDescent="0.4">
      <c r="B7" s="11" t="s">
        <v>5</v>
      </c>
      <c r="C7" s="2">
        <v>327</v>
      </c>
      <c r="D7" s="2">
        <v>432</v>
      </c>
      <c r="E7" s="2">
        <v>292</v>
      </c>
      <c r="F7" s="7">
        <f t="shared" si="0"/>
        <v>1051</v>
      </c>
    </row>
    <row r="8" spans="1:6" ht="21" x14ac:dyDescent="0.4">
      <c r="B8" s="11" t="s">
        <v>6</v>
      </c>
      <c r="C8" s="2">
        <v>394</v>
      </c>
      <c r="D8" s="2">
        <v>254</v>
      </c>
      <c r="E8" s="2">
        <v>244</v>
      </c>
      <c r="F8" s="7">
        <f t="shared" si="0"/>
        <v>892</v>
      </c>
    </row>
    <row r="9" spans="1:6" ht="21" x14ac:dyDescent="0.4">
      <c r="B9" s="11" t="s">
        <v>7</v>
      </c>
      <c r="C9" s="2">
        <v>272</v>
      </c>
      <c r="D9" s="2">
        <v>372</v>
      </c>
      <c r="E9" s="2">
        <v>360</v>
      </c>
      <c r="F9" s="7">
        <f t="shared" si="0"/>
        <v>1004</v>
      </c>
    </row>
    <row r="10" spans="1:6" ht="21" x14ac:dyDescent="0.4">
      <c r="B10" s="11" t="s">
        <v>8</v>
      </c>
      <c r="C10" s="2">
        <v>455</v>
      </c>
      <c r="D10" s="2">
        <v>218</v>
      </c>
      <c r="E10" s="2">
        <v>287</v>
      </c>
      <c r="F10" s="7">
        <f t="shared" si="0"/>
        <v>960</v>
      </c>
    </row>
    <row r="11" spans="1:6" ht="21" x14ac:dyDescent="0.4">
      <c r="B11" s="11" t="s">
        <v>10</v>
      </c>
      <c r="C11" s="2">
        <v>346</v>
      </c>
      <c r="D11" s="2">
        <v>383</v>
      </c>
      <c r="E11" s="2">
        <v>291</v>
      </c>
      <c r="F11" s="7">
        <f t="shared" si="0"/>
        <v>1020</v>
      </c>
    </row>
    <row r="12" spans="1:6" ht="21" x14ac:dyDescent="0.4">
      <c r="B12" s="11" t="s">
        <v>9</v>
      </c>
      <c r="C12" s="2">
        <v>475</v>
      </c>
      <c r="D12" s="2">
        <v>393</v>
      </c>
      <c r="E12" s="2">
        <v>206</v>
      </c>
      <c r="F12" s="7">
        <f t="shared" si="0"/>
        <v>1074</v>
      </c>
    </row>
    <row r="13" spans="1:6" ht="26.4" thickBot="1" x14ac:dyDescent="0.5">
      <c r="B13" s="8" t="s">
        <v>11</v>
      </c>
      <c r="C13" s="9">
        <f>SUM(C4:C12)</f>
        <v>4623</v>
      </c>
      <c r="D13" s="9">
        <f t="shared" ref="D13:F13" si="1">SUM(D4:D12)</f>
        <v>3428</v>
      </c>
      <c r="E13" s="9">
        <f t="shared" si="1"/>
        <v>2609</v>
      </c>
      <c r="F13" s="10">
        <f t="shared" si="1"/>
        <v>10660</v>
      </c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D0D7-B37A-48D4-8318-833037F3C771}">
  <dimension ref="A1:F13"/>
  <sheetViews>
    <sheetView workbookViewId="0">
      <selection activeCell="K11" sqref="K11"/>
    </sheetView>
  </sheetViews>
  <sheetFormatPr defaultRowHeight="14.4" x14ac:dyDescent="0.3"/>
  <cols>
    <col min="2" max="2" width="18.88671875" customWidth="1"/>
    <col min="3" max="3" width="12.6640625" customWidth="1"/>
    <col min="4" max="4" width="12.21875" customWidth="1"/>
    <col min="5" max="5" width="14.33203125" customWidth="1"/>
    <col min="6" max="6" width="15.33203125" customWidth="1"/>
  </cols>
  <sheetData>
    <row r="1" spans="1:6" ht="29.4" customHeight="1" thickBot="1" x14ac:dyDescent="0.35">
      <c r="A1" s="13" t="s">
        <v>16</v>
      </c>
    </row>
    <row r="2" spans="1:6" ht="28.2" customHeight="1" x14ac:dyDescent="0.3">
      <c r="B2" s="3" t="s">
        <v>0</v>
      </c>
      <c r="C2" s="4"/>
      <c r="D2" s="4"/>
      <c r="E2" s="4"/>
      <c r="F2" s="5"/>
    </row>
    <row r="3" spans="1:6" ht="23.4" x14ac:dyDescent="0.4">
      <c r="B3" s="11" t="s">
        <v>1</v>
      </c>
      <c r="C3" s="1" t="s">
        <v>19</v>
      </c>
      <c r="D3" s="1" t="s">
        <v>20</v>
      </c>
      <c r="E3" s="1" t="s">
        <v>21</v>
      </c>
      <c r="F3" s="6" t="s">
        <v>11</v>
      </c>
    </row>
    <row r="4" spans="1:6" ht="21" x14ac:dyDescent="0.4">
      <c r="B4" s="11" t="s">
        <v>2</v>
      </c>
      <c r="C4" s="2">
        <v>187</v>
      </c>
      <c r="D4" s="2">
        <v>513</v>
      </c>
      <c r="E4" s="2">
        <v>430</v>
      </c>
      <c r="F4" s="7">
        <f>SUM(C4:E4)</f>
        <v>1130</v>
      </c>
    </row>
    <row r="5" spans="1:6" ht="21" x14ac:dyDescent="0.4">
      <c r="B5" s="11" t="s">
        <v>3</v>
      </c>
      <c r="C5" s="2">
        <v>520</v>
      </c>
      <c r="D5" s="2">
        <v>342</v>
      </c>
      <c r="E5" s="2">
        <v>397</v>
      </c>
      <c r="F5" s="7">
        <f t="shared" ref="F5:F12" si="0">SUM(C5:E5)</f>
        <v>1259</v>
      </c>
    </row>
    <row r="6" spans="1:6" ht="21" x14ac:dyDescent="0.4">
      <c r="B6" s="11" t="s">
        <v>4</v>
      </c>
      <c r="C6" s="2">
        <v>143</v>
      </c>
      <c r="D6" s="2">
        <v>102</v>
      </c>
      <c r="E6" s="2">
        <v>228</v>
      </c>
      <c r="F6" s="7">
        <f t="shared" si="0"/>
        <v>473</v>
      </c>
    </row>
    <row r="7" spans="1:6" ht="21" x14ac:dyDescent="0.4">
      <c r="B7" s="11" t="s">
        <v>5</v>
      </c>
      <c r="C7" s="2">
        <v>429</v>
      </c>
      <c r="D7" s="2">
        <v>300</v>
      </c>
      <c r="E7" s="2">
        <v>334</v>
      </c>
      <c r="F7" s="7">
        <f t="shared" si="0"/>
        <v>1063</v>
      </c>
    </row>
    <row r="8" spans="1:6" ht="21" x14ac:dyDescent="0.4">
      <c r="B8" s="11" t="s">
        <v>6</v>
      </c>
      <c r="C8" s="2">
        <v>335</v>
      </c>
      <c r="D8" s="2">
        <v>173</v>
      </c>
      <c r="E8" s="2">
        <v>542</v>
      </c>
      <c r="F8" s="7">
        <f t="shared" si="0"/>
        <v>1050</v>
      </c>
    </row>
    <row r="9" spans="1:6" ht="21" x14ac:dyDescent="0.4">
      <c r="B9" s="11" t="s">
        <v>7</v>
      </c>
      <c r="C9" s="2">
        <v>420</v>
      </c>
      <c r="D9" s="2">
        <v>360</v>
      </c>
      <c r="E9" s="2">
        <v>361</v>
      </c>
      <c r="F9" s="7">
        <f t="shared" si="0"/>
        <v>1141</v>
      </c>
    </row>
    <row r="10" spans="1:6" ht="21" x14ac:dyDescent="0.4">
      <c r="B10" s="11" t="s">
        <v>8</v>
      </c>
      <c r="C10" s="2">
        <v>230</v>
      </c>
      <c r="D10" s="2">
        <v>539</v>
      </c>
      <c r="E10" s="2">
        <v>114</v>
      </c>
      <c r="F10" s="7">
        <f t="shared" si="0"/>
        <v>883</v>
      </c>
    </row>
    <row r="11" spans="1:6" ht="21" x14ac:dyDescent="0.4">
      <c r="B11" s="11" t="s">
        <v>10</v>
      </c>
      <c r="C11" s="2">
        <v>254</v>
      </c>
      <c r="D11" s="2">
        <v>561</v>
      </c>
      <c r="E11" s="2">
        <v>365</v>
      </c>
      <c r="F11" s="7">
        <f t="shared" si="0"/>
        <v>1180</v>
      </c>
    </row>
    <row r="12" spans="1:6" ht="21" x14ac:dyDescent="0.4">
      <c r="B12" s="11" t="s">
        <v>9</v>
      </c>
      <c r="C12" s="2">
        <v>581</v>
      </c>
      <c r="D12" s="2">
        <v>586</v>
      </c>
      <c r="E12" s="2">
        <v>332</v>
      </c>
      <c r="F12" s="7">
        <f t="shared" si="0"/>
        <v>1499</v>
      </c>
    </row>
    <row r="13" spans="1:6" ht="26.4" thickBot="1" x14ac:dyDescent="0.5">
      <c r="B13" s="8" t="s">
        <v>11</v>
      </c>
      <c r="C13" s="9">
        <f>SUM(C4:C12)</f>
        <v>3099</v>
      </c>
      <c r="D13" s="9">
        <f t="shared" ref="D13:F13" si="1">SUM(D4:D12)</f>
        <v>3476</v>
      </c>
      <c r="E13" s="9">
        <f t="shared" si="1"/>
        <v>3103</v>
      </c>
      <c r="F13" s="10">
        <f t="shared" si="1"/>
        <v>9678</v>
      </c>
    </row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D444-996C-4689-AFFE-6C7DCA78E783}">
  <dimension ref="A1:F13"/>
  <sheetViews>
    <sheetView workbookViewId="0">
      <selection activeCell="E13" sqref="E13"/>
    </sheetView>
  </sheetViews>
  <sheetFormatPr defaultRowHeight="14.4" x14ac:dyDescent="0.3"/>
  <cols>
    <col min="2" max="2" width="18.88671875" customWidth="1"/>
    <col min="3" max="3" width="12.6640625" customWidth="1"/>
    <col min="4" max="4" width="12.21875" customWidth="1"/>
    <col min="5" max="5" width="14.33203125" customWidth="1"/>
    <col min="6" max="6" width="15.33203125" customWidth="1"/>
  </cols>
  <sheetData>
    <row r="1" spans="1:6" ht="29.4" customHeight="1" thickBot="1" x14ac:dyDescent="0.35">
      <c r="A1" s="12" t="s">
        <v>17</v>
      </c>
    </row>
    <row r="2" spans="1:6" ht="28.2" customHeight="1" x14ac:dyDescent="0.3">
      <c r="B2" s="3" t="s">
        <v>0</v>
      </c>
      <c r="C2" s="4"/>
      <c r="D2" s="4"/>
      <c r="E2" s="4"/>
      <c r="F2" s="5"/>
    </row>
    <row r="3" spans="1:6" ht="23.4" x14ac:dyDescent="0.4">
      <c r="B3" s="11" t="s">
        <v>1</v>
      </c>
      <c r="C3" s="1" t="s">
        <v>22</v>
      </c>
      <c r="D3" s="1" t="s">
        <v>23</v>
      </c>
      <c r="E3" s="1" t="s">
        <v>24</v>
      </c>
      <c r="F3" s="6" t="s">
        <v>11</v>
      </c>
    </row>
    <row r="4" spans="1:6" ht="21" x14ac:dyDescent="0.4">
      <c r="B4" s="11" t="s">
        <v>2</v>
      </c>
      <c r="C4" s="2">
        <v>695</v>
      </c>
      <c r="D4" s="2">
        <v>409</v>
      </c>
      <c r="E4" s="2">
        <v>621</v>
      </c>
      <c r="F4" s="7">
        <f>SUM(C4:E4)</f>
        <v>1725</v>
      </c>
    </row>
    <row r="5" spans="1:6" ht="21" x14ac:dyDescent="0.4">
      <c r="B5" s="11" t="s">
        <v>3</v>
      </c>
      <c r="C5" s="2">
        <v>505</v>
      </c>
      <c r="D5" s="2">
        <v>290</v>
      </c>
      <c r="E5" s="2">
        <v>582</v>
      </c>
      <c r="F5" s="7">
        <f t="shared" ref="F5:F12" si="0">SUM(C5:E5)</f>
        <v>1377</v>
      </c>
    </row>
    <row r="6" spans="1:6" ht="21" x14ac:dyDescent="0.4">
      <c r="B6" s="11" t="s">
        <v>4</v>
      </c>
      <c r="C6" s="2">
        <v>516</v>
      </c>
      <c r="D6" s="2">
        <v>495</v>
      </c>
      <c r="E6" s="2">
        <v>677</v>
      </c>
      <c r="F6" s="7">
        <f t="shared" si="0"/>
        <v>1688</v>
      </c>
    </row>
    <row r="7" spans="1:6" ht="21" x14ac:dyDescent="0.4">
      <c r="B7" s="11" t="s">
        <v>5</v>
      </c>
      <c r="C7" s="2">
        <v>692</v>
      </c>
      <c r="D7" s="2">
        <v>515</v>
      </c>
      <c r="E7" s="2">
        <v>208</v>
      </c>
      <c r="F7" s="7">
        <f t="shared" si="0"/>
        <v>1415</v>
      </c>
    </row>
    <row r="8" spans="1:6" ht="21" x14ac:dyDescent="0.4">
      <c r="B8" s="11" t="s">
        <v>6</v>
      </c>
      <c r="C8" s="2">
        <v>621</v>
      </c>
      <c r="D8" s="2">
        <v>643</v>
      </c>
      <c r="E8" s="2">
        <v>477</v>
      </c>
      <c r="F8" s="7">
        <f t="shared" si="0"/>
        <v>1741</v>
      </c>
    </row>
    <row r="9" spans="1:6" ht="21" x14ac:dyDescent="0.4">
      <c r="B9" s="11" t="s">
        <v>7</v>
      </c>
      <c r="C9" s="2">
        <v>461</v>
      </c>
      <c r="D9" s="2">
        <v>379</v>
      </c>
      <c r="E9" s="2">
        <v>282</v>
      </c>
      <c r="F9" s="7">
        <f t="shared" si="0"/>
        <v>1122</v>
      </c>
    </row>
    <row r="10" spans="1:6" ht="21" x14ac:dyDescent="0.4">
      <c r="B10" s="11" t="s">
        <v>8</v>
      </c>
      <c r="C10" s="2">
        <v>409</v>
      </c>
      <c r="D10" s="2">
        <v>309</v>
      </c>
      <c r="E10" s="2">
        <v>539</v>
      </c>
      <c r="F10" s="7">
        <f t="shared" si="0"/>
        <v>1257</v>
      </c>
    </row>
    <row r="11" spans="1:6" ht="21" x14ac:dyDescent="0.4">
      <c r="B11" s="11" t="s">
        <v>10</v>
      </c>
      <c r="C11" s="2">
        <v>608</v>
      </c>
      <c r="D11" s="2">
        <v>444</v>
      </c>
      <c r="E11" s="2">
        <v>237</v>
      </c>
      <c r="F11" s="7">
        <f t="shared" si="0"/>
        <v>1289</v>
      </c>
    </row>
    <row r="12" spans="1:6" ht="21" x14ac:dyDescent="0.4">
      <c r="B12" s="11" t="s">
        <v>9</v>
      </c>
      <c r="C12" s="2">
        <v>579</v>
      </c>
      <c r="D12" s="2">
        <v>655</v>
      </c>
      <c r="E12" s="2">
        <v>412</v>
      </c>
      <c r="F12" s="7">
        <f t="shared" si="0"/>
        <v>1646</v>
      </c>
    </row>
    <row r="13" spans="1:6" ht="26.4" thickBot="1" x14ac:dyDescent="0.5">
      <c r="B13" s="8" t="s">
        <v>11</v>
      </c>
      <c r="C13" s="9">
        <f>SUM(C4:C12)</f>
        <v>5086</v>
      </c>
      <c r="D13" s="9">
        <f t="shared" ref="D13:F13" si="1">SUM(D4:D12)</f>
        <v>4139</v>
      </c>
      <c r="E13" s="9">
        <f t="shared" si="1"/>
        <v>4035</v>
      </c>
      <c r="F13" s="10">
        <f t="shared" si="1"/>
        <v>13260</v>
      </c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DB5D-3ADD-4D5D-A74D-ED4737530DD6}">
  <dimension ref="A1:F13"/>
  <sheetViews>
    <sheetView workbookViewId="0">
      <selection activeCell="E13" sqref="E13"/>
    </sheetView>
  </sheetViews>
  <sheetFormatPr defaultRowHeight="14.4" x14ac:dyDescent="0.3"/>
  <cols>
    <col min="2" max="2" width="18.88671875" customWidth="1"/>
    <col min="3" max="3" width="12.6640625" customWidth="1"/>
    <col min="4" max="4" width="12.21875" customWidth="1"/>
    <col min="5" max="5" width="14.33203125" customWidth="1"/>
    <col min="6" max="6" width="15.33203125" customWidth="1"/>
  </cols>
  <sheetData>
    <row r="1" spans="1:6" ht="29.4" customHeight="1" thickBot="1" x14ac:dyDescent="0.35">
      <c r="A1" s="13" t="s">
        <v>18</v>
      </c>
    </row>
    <row r="2" spans="1:6" ht="28.2" customHeight="1" x14ac:dyDescent="0.3">
      <c r="B2" s="3" t="s">
        <v>0</v>
      </c>
      <c r="C2" s="4"/>
      <c r="D2" s="4"/>
      <c r="E2" s="4"/>
      <c r="F2" s="5"/>
    </row>
    <row r="3" spans="1:6" ht="23.4" x14ac:dyDescent="0.4">
      <c r="B3" s="11" t="s">
        <v>1</v>
      </c>
      <c r="C3" s="1" t="s">
        <v>12</v>
      </c>
      <c r="D3" s="1" t="s">
        <v>13</v>
      </c>
      <c r="E3" s="1" t="s">
        <v>14</v>
      </c>
      <c r="F3" s="6" t="s">
        <v>11</v>
      </c>
    </row>
    <row r="4" spans="1:6" ht="21" x14ac:dyDescent="0.4">
      <c r="B4" s="11" t="s">
        <v>2</v>
      </c>
      <c r="C4" s="2">
        <v>336</v>
      </c>
      <c r="D4" s="2">
        <v>466</v>
      </c>
      <c r="E4" s="2">
        <v>298</v>
      </c>
      <c r="F4" s="7">
        <f>SUM(C4:E4)</f>
        <v>1100</v>
      </c>
    </row>
    <row r="5" spans="1:6" ht="21" x14ac:dyDescent="0.4">
      <c r="B5" s="11" t="s">
        <v>3</v>
      </c>
      <c r="C5" s="2">
        <v>662</v>
      </c>
      <c r="D5" s="2">
        <v>556</v>
      </c>
      <c r="E5" s="2">
        <v>365</v>
      </c>
      <c r="F5" s="7">
        <f t="shared" ref="F5:F12" si="0">SUM(C5:E5)</f>
        <v>1583</v>
      </c>
    </row>
    <row r="6" spans="1:6" ht="21" x14ac:dyDescent="0.4">
      <c r="B6" s="11" t="s">
        <v>4</v>
      </c>
      <c r="C6" s="2">
        <v>243</v>
      </c>
      <c r="D6" s="2">
        <v>495</v>
      </c>
      <c r="E6" s="2">
        <v>253</v>
      </c>
      <c r="F6" s="7">
        <f t="shared" si="0"/>
        <v>991</v>
      </c>
    </row>
    <row r="7" spans="1:6" ht="21" x14ac:dyDescent="0.4">
      <c r="B7" s="11" t="s">
        <v>5</v>
      </c>
      <c r="C7" s="2">
        <v>490</v>
      </c>
      <c r="D7" s="2">
        <v>117</v>
      </c>
      <c r="E7" s="2">
        <v>590</v>
      </c>
      <c r="F7" s="7">
        <f t="shared" si="0"/>
        <v>1197</v>
      </c>
    </row>
    <row r="8" spans="1:6" ht="21" x14ac:dyDescent="0.4">
      <c r="B8" s="11" t="s">
        <v>6</v>
      </c>
      <c r="C8" s="2">
        <v>176</v>
      </c>
      <c r="D8" s="2">
        <v>336</v>
      </c>
      <c r="E8" s="2">
        <v>296</v>
      </c>
      <c r="F8" s="7">
        <f t="shared" si="0"/>
        <v>808</v>
      </c>
    </row>
    <row r="9" spans="1:6" ht="21" x14ac:dyDescent="0.4">
      <c r="B9" s="11" t="s">
        <v>7</v>
      </c>
      <c r="C9" s="2">
        <v>561</v>
      </c>
      <c r="D9" s="2">
        <v>702</v>
      </c>
      <c r="E9" s="2">
        <v>171</v>
      </c>
      <c r="F9" s="7">
        <f t="shared" si="0"/>
        <v>1434</v>
      </c>
    </row>
    <row r="10" spans="1:6" ht="21" x14ac:dyDescent="0.4">
      <c r="B10" s="11" t="s">
        <v>8</v>
      </c>
      <c r="C10" s="2">
        <v>322</v>
      </c>
      <c r="D10" s="2">
        <v>450</v>
      </c>
      <c r="E10" s="2">
        <v>656</v>
      </c>
      <c r="F10" s="7">
        <f t="shared" si="0"/>
        <v>1428</v>
      </c>
    </row>
    <row r="11" spans="1:6" ht="21" x14ac:dyDescent="0.4">
      <c r="B11" s="11" t="s">
        <v>10</v>
      </c>
      <c r="C11" s="2">
        <v>446</v>
      </c>
      <c r="D11" s="2">
        <v>529</v>
      </c>
      <c r="E11" s="2">
        <v>563</v>
      </c>
      <c r="F11" s="7">
        <f t="shared" si="0"/>
        <v>1538</v>
      </c>
    </row>
    <row r="12" spans="1:6" ht="21" x14ac:dyDescent="0.4">
      <c r="B12" s="11" t="s">
        <v>9</v>
      </c>
      <c r="C12" s="2">
        <v>462</v>
      </c>
      <c r="D12" s="2">
        <v>635</v>
      </c>
      <c r="E12" s="2">
        <v>296</v>
      </c>
      <c r="F12" s="7">
        <f t="shared" si="0"/>
        <v>1393</v>
      </c>
    </row>
    <row r="13" spans="1:6" ht="26.4" thickBot="1" x14ac:dyDescent="0.5">
      <c r="B13" s="8" t="s">
        <v>11</v>
      </c>
      <c r="C13" s="9">
        <f>SUM(C4:C12)</f>
        <v>3698</v>
      </c>
      <c r="D13" s="9">
        <f t="shared" ref="D13:F13" si="1">SUM(D4:D12)</f>
        <v>4286</v>
      </c>
      <c r="E13" s="9">
        <f t="shared" si="1"/>
        <v>3488</v>
      </c>
      <c r="F13" s="10">
        <f t="shared" si="1"/>
        <v>11472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data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2025-06-12T16:21:02Z</dcterms:created>
  <dcterms:modified xsi:type="dcterms:W3CDTF">2025-06-12T17:17:57Z</dcterms:modified>
</cp:coreProperties>
</file>