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403e85a9eddbd6/Desktop/EXCAL FORMULA/"/>
    </mc:Choice>
  </mc:AlternateContent>
  <xr:revisionPtr revIDLastSave="31" documentId="13_ncr:1_{29D09E2C-6EE3-457E-AF26-C3A15C358CED}" xr6:coauthVersionLast="47" xr6:coauthVersionMax="47" xr10:uidLastSave="{A5A8907A-D7A9-4D13-AA66-F583EDC75E75}"/>
  <bookViews>
    <workbookView xWindow="-108" yWindow="-108" windowWidth="23256" windowHeight="12576" firstSheet="8" activeTab="12" xr2:uid="{C25D141B-B703-4781-A807-5ABF2CA8FDA6}"/>
  </bookViews>
  <sheets>
    <sheet name="Vlookup" sheetId="1" r:id="rId1"/>
    <sheet name="Double Vlookup 1" sheetId="2" r:id="rId2"/>
    <sheet name="Double Vlookup 2" sheetId="3" r:id="rId3"/>
    <sheet name="Advanced Vlookup" sheetId="4" r:id="rId4"/>
    <sheet name="VLOOKUP 1" sheetId="5" r:id="rId5"/>
    <sheet name="VLOOKUP 2" sheetId="6" r:id="rId6"/>
    <sheet name="VLOOKUP 3" sheetId="7" r:id="rId7"/>
    <sheet name="VLOOKUP 4" sheetId="8" r:id="rId8"/>
    <sheet name="VLOOKUP 5" sheetId="10" r:id="rId9"/>
    <sheet name="VLOOKUP 6" sheetId="11" r:id="rId10"/>
    <sheet name="VLOOKUP 7" sheetId="12" r:id="rId11"/>
    <sheet name="VLOOKUP 8" sheetId="13" r:id="rId12"/>
    <sheet name="VLOOKUP 9" sheetId="14" r:id="rId13"/>
    <sheet name="VLOOKUP 10" sheetId="15" r:id="rId14"/>
    <sheet name="VLOOKUP 11" sheetId="16" r:id="rId15"/>
  </sheets>
  <externalReferences>
    <externalReference r:id="rId16"/>
  </externalReferences>
  <definedNames>
    <definedName name="_xlnm._FilterDatabase" localSheetId="0" hidden="1">Vlookup!$C$4:$J$4</definedName>
    <definedName name="_xlnm._FilterDatabase" localSheetId="7" hidden="1">'VLOOKUP 4'!$B$3:$E$3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14" l="1" a="1"/>
  <c r="J9" i="14" s="1"/>
  <c r="J6" i="14" a="1"/>
  <c r="J6" i="14" s="1"/>
  <c r="J5" i="14" a="1"/>
  <c r="J5" i="14" s="1"/>
  <c r="I9" i="16"/>
  <c r="I8" i="16"/>
  <c r="I4" i="2"/>
  <c r="I6" i="1"/>
  <c r="J6" i="1" s="1"/>
  <c r="H6" i="1"/>
  <c r="K4" i="16" a="1"/>
  <c r="K4" i="16" s="1"/>
  <c r="I4" i="16"/>
  <c r="J6" i="15" a="1"/>
  <c r="J6" i="15" s="1"/>
  <c r="J5" i="15" a="1"/>
  <c r="J5" i="15" s="1"/>
  <c r="J4" i="15" a="1"/>
  <c r="J4" i="15" s="1"/>
  <c r="J4" i="14" a="1"/>
  <c r="J4" i="14" s="1"/>
  <c r="C18" i="14" a="1"/>
  <c r="C18" i="14" s="1"/>
  <c r="H4" i="13"/>
  <c r="G10" i="13" a="1"/>
  <c r="G10" i="13" s="1"/>
  <c r="H4" i="12"/>
  <c r="G6" i="12"/>
  <c r="I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4" i="11"/>
  <c r="I5" i="10"/>
  <c r="J6" i="10"/>
  <c r="H5" i="10"/>
  <c r="J5" i="10"/>
  <c r="H6" i="10"/>
  <c r="I6" i="10"/>
  <c r="H7" i="10"/>
  <c r="I7" i="10"/>
  <c r="J7" i="10"/>
  <c r="I4" i="10"/>
  <c r="J4" i="10"/>
  <c r="H4" i="10"/>
  <c r="H4" i="8"/>
  <c r="J4" i="7"/>
  <c r="I4" i="7"/>
  <c r="H4" i="7"/>
  <c r="I10" i="5"/>
  <c r="J10" i="5"/>
  <c r="H5" i="6"/>
  <c r="H4" i="6"/>
  <c r="H10" i="5"/>
  <c r="H7" i="5"/>
  <c r="H4" i="5"/>
  <c r="H4" i="4"/>
  <c r="I4" i="4" s="1"/>
  <c r="J4" i="4" s="1"/>
  <c r="F14" i="2"/>
  <c r="F13" i="2"/>
  <c r="F12" i="2"/>
  <c r="F11" i="2"/>
  <c r="F10" i="2"/>
  <c r="F9" i="2"/>
  <c r="F8" i="2"/>
  <c r="F7" i="2"/>
  <c r="F6" i="2"/>
  <c r="F5" i="2"/>
  <c r="F4" i="2"/>
  <c r="I3" i="2"/>
  <c r="F3" i="2"/>
  <c r="H5" i="1"/>
  <c r="I5" i="1" s="1"/>
  <c r="J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<sst xmlns="http://schemas.openxmlformats.org/spreadsheetml/2006/main" count="675" uniqueCount="137">
  <si>
    <t>Product No.</t>
  </si>
  <si>
    <t>Product Name</t>
  </si>
  <si>
    <t>Sales</t>
  </si>
  <si>
    <t>Date</t>
  </si>
  <si>
    <t>P0011</t>
  </si>
  <si>
    <t>Laptop</t>
  </si>
  <si>
    <t>02-20-2024</t>
  </si>
  <si>
    <t>P0015</t>
  </si>
  <si>
    <t>P0012</t>
  </si>
  <si>
    <t>Mouse</t>
  </si>
  <si>
    <t>03-24-2024</t>
  </si>
  <si>
    <t>P0013</t>
  </si>
  <si>
    <t>Keyboard</t>
  </si>
  <si>
    <t>P0014</t>
  </si>
  <si>
    <t>Moniter</t>
  </si>
  <si>
    <t>CPU</t>
  </si>
  <si>
    <t>03-13-2024</t>
  </si>
  <si>
    <t>P0016</t>
  </si>
  <si>
    <t>USB</t>
  </si>
  <si>
    <t>02-14-2024</t>
  </si>
  <si>
    <t>P0017</t>
  </si>
  <si>
    <t>Headphone</t>
  </si>
  <si>
    <t>03-25-2024</t>
  </si>
  <si>
    <t>P0018</t>
  </si>
  <si>
    <t>Printer</t>
  </si>
  <si>
    <t>03-26-2024</t>
  </si>
  <si>
    <t>P0019</t>
  </si>
  <si>
    <t>Scenner</t>
  </si>
  <si>
    <t>P0020</t>
  </si>
  <si>
    <t>Pendrive</t>
  </si>
  <si>
    <t>P0021</t>
  </si>
  <si>
    <t>Sd card</t>
  </si>
  <si>
    <t>P0022</t>
  </si>
  <si>
    <t>Sound</t>
  </si>
  <si>
    <t>02-23-2024</t>
  </si>
  <si>
    <t>ID No.</t>
  </si>
  <si>
    <t>Name</t>
  </si>
  <si>
    <t>Designation</t>
  </si>
  <si>
    <t>Basic Salary</t>
  </si>
  <si>
    <t>Attendance</t>
  </si>
  <si>
    <t>Rajesh</t>
  </si>
  <si>
    <t>Manager</t>
  </si>
  <si>
    <t>Mahesh</t>
  </si>
  <si>
    <t>Asst. Manager</t>
  </si>
  <si>
    <t>Suresh</t>
  </si>
  <si>
    <t>Staff</t>
  </si>
  <si>
    <t>Naresh</t>
  </si>
  <si>
    <t>Supervisor</t>
  </si>
  <si>
    <t>Harsh</t>
  </si>
  <si>
    <t>Jai</t>
  </si>
  <si>
    <t>Punit</t>
  </si>
  <si>
    <t>Helper</t>
  </si>
  <si>
    <t>Nishant</t>
  </si>
  <si>
    <t>Sampler</t>
  </si>
  <si>
    <t>Vijay</t>
  </si>
  <si>
    <t>Mendor</t>
  </si>
  <si>
    <t>Vikram</t>
  </si>
  <si>
    <t>Lakhan</t>
  </si>
  <si>
    <t>Sumit</t>
  </si>
  <si>
    <t>Id No.</t>
  </si>
  <si>
    <t>Bassic Salary</t>
  </si>
  <si>
    <t>Ankesh</t>
  </si>
  <si>
    <t>Ankush</t>
  </si>
  <si>
    <t>Qty Sold</t>
  </si>
  <si>
    <t>Region</t>
  </si>
  <si>
    <t>Product</t>
  </si>
  <si>
    <t>Product ID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</si>
  <si>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</si>
  <si>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</si>
  <si>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</si>
  <si>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</si>
  <si>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</si>
  <si>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</si>
  <si>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</si>
  <si>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</si>
  <si>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</si>
  <si>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</si>
  <si>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P12</t>
  </si>
  <si>
    <t>P13</t>
  </si>
  <si>
    <t>P11</t>
  </si>
  <si>
    <t>P14</t>
  </si>
  <si>
    <t>P15</t>
  </si>
  <si>
    <t>Processor i3</t>
  </si>
  <si>
    <t>Processor i4</t>
  </si>
  <si>
    <t>Speaker</t>
  </si>
  <si>
    <t>RGB Light</t>
  </si>
  <si>
    <t>Monitor</t>
  </si>
  <si>
    <t>Mouse 3.0</t>
  </si>
  <si>
    <t>Wireless Mouse</t>
  </si>
  <si>
    <t>HDD 256 GB</t>
  </si>
  <si>
    <t>RAM</t>
  </si>
  <si>
    <t>ROM</t>
  </si>
  <si>
    <t>Juicer</t>
  </si>
  <si>
    <t>East</t>
  </si>
  <si>
    <t>West</t>
  </si>
  <si>
    <t>South</t>
  </si>
  <si>
    <t>North</t>
  </si>
  <si>
    <t>Basic Vlookup Formula</t>
  </si>
  <si>
    <t>Vlookup + If error - Removing # N/A Error</t>
  </si>
  <si>
    <t>P022</t>
  </si>
  <si>
    <t>P027</t>
  </si>
  <si>
    <t>Vlookup + Columns Magic</t>
  </si>
  <si>
    <t>Dynamic Vlookup - Auto Updated Vlookup Formula With DROPDOWN List</t>
  </si>
  <si>
    <t>P16</t>
  </si>
  <si>
    <t>USB Cable</t>
  </si>
  <si>
    <t>Vlookup To Extract Multiple Records</t>
  </si>
  <si>
    <t>Vlookup With Multiple Criteria ( Multiple Lookup Values )</t>
  </si>
  <si>
    <t>Vlookup + Match Formula</t>
  </si>
  <si>
    <t>Vlookup + Choose Formula - Reverse Vlookup</t>
  </si>
  <si>
    <t>HSN Code</t>
  </si>
  <si>
    <t>EP0101</t>
  </si>
  <si>
    <t>EP0102</t>
  </si>
  <si>
    <t>EP0103</t>
  </si>
  <si>
    <t>EP0104</t>
  </si>
  <si>
    <t>EP0105</t>
  </si>
  <si>
    <t>EP0106</t>
  </si>
  <si>
    <t>EP0107</t>
  </si>
  <si>
    <t>EP0108</t>
  </si>
  <si>
    <t>EP0109</t>
  </si>
  <si>
    <t>EP0110</t>
  </si>
  <si>
    <t>EP0111</t>
  </si>
  <si>
    <t>EP0112</t>
  </si>
  <si>
    <t>Jan</t>
  </si>
  <si>
    <t>Feb</t>
  </si>
  <si>
    <t>Mar</t>
  </si>
  <si>
    <t>Apr</t>
  </si>
  <si>
    <t>Vlookup Hack</t>
  </si>
  <si>
    <t xml:space="preserve">Vlookup + Sum Magic </t>
  </si>
  <si>
    <t>Total Sales</t>
  </si>
  <si>
    <t>Max</t>
  </si>
  <si>
    <t>Average</t>
  </si>
  <si>
    <t>Sum</t>
  </si>
  <si>
    <t xml:space="preserve">Product </t>
  </si>
  <si>
    <t>Vlookup + Trim Formula</t>
  </si>
  <si>
    <t>Trim formula</t>
  </si>
  <si>
    <t xml:space="preserve"> RAM</t>
  </si>
  <si>
    <t xml:space="preserve">       RAJA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</si>
</sst>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 * #,##0.00_ ;_ * \-#,##0.00_ ;_ * &quot;-&quot;??_ ;_ @_ "/>
    <numFmt numFmtId="164" formatCode="_ * #,##0_ ;_ * \-#,##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3" fontId="3" fillId="3" borderId="1" xfId="1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5" fillId="3" borderId="2" xfId="0" applyFont="1" applyFill="1" applyBorder="1"/>
    <xf numFmtId="0" fontId="5" fillId="0" borderId="0" xfId="0" applyFont="1"/>
    <xf numFmtId="0" fontId="4" fillId="6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3" xfId="0" quotePrefix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3" borderId="3" xfId="0" quotePrefix="1" applyFont="1" applyFill="1" applyBorder="1" applyAlignment="1">
      <alignment horizontal="center" vertical="center"/>
    </xf>
    <xf numFmtId="0" fontId="5" fillId="0" borderId="4" xfId="0" quotePrefix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3" borderId="6" xfId="0" quotePrefix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8" fillId="9" borderId="12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0" xfId="0" quotePrefix="1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0" fillId="9" borderId="0" xfId="0" applyFill="1"/>
    <xf numFmtId="0" fontId="3" fillId="0" borderId="0" xfId="0" applyFont="1" applyAlignment="1">
      <alignment horizontal="left" vertical="top"/>
    </xf>
    <xf numFmtId="0" fontId="3" fillId="0" borderId="0" xfId="0" quotePrefix="1" applyFont="1" applyAlignment="1">
      <alignment horizontal="left" vertical="top"/>
    </xf>
    <xf numFmtId="0" fontId="3" fillId="3" borderId="1" xfId="0" quotePrefix="1" applyFont="1" applyFill="1" applyBorder="1" applyAlignment="1">
      <alignment horizontal="center" vertical="center"/>
    </xf>
    <xf numFmtId="14" fontId="0" fillId="0" borderId="0" xfId="0" applyNumberFormat="1"/>
    <xf numFmtId="0" fontId="3" fillId="3" borderId="5" xfId="0" quotePrefix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 style="thick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border outline="0">
        <top style="thick">
          <color indexed="64"/>
        </top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 outline="0"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4F7C97E6-E216-4342-A4BB-B20CFB5AAFF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NV\Downloads\Formula1.xlsx" TargetMode="External"/><Relationship Id="rId1" Type="http://schemas.openxmlformats.org/officeDocument/2006/relationships/externalLinkPath" Target="file:///C:\Users\INV\Downloads\Formula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E &amp; TIME"/>
      <sheetName val="Vlookup"/>
      <sheetName val="Double Vlookup Sheet1"/>
      <sheetName val="Double Vlookup Sheet2"/>
      <sheetName val="Advance Vlookup"/>
      <sheetName val="Hlookup"/>
      <sheetName val="Xlookup"/>
      <sheetName val="Match "/>
      <sheetName val="INDEX"/>
      <sheetName val="INDEX &amp; MATCH"/>
      <sheetName val="IF"/>
      <sheetName val="IF &amp; IFS"/>
      <sheetName val="SUMIF &amp; SUMIFS"/>
      <sheetName val="COUNT &amp; COUNTA &amp; ......."/>
      <sheetName val="SUBSTITUTE"/>
      <sheetName val="BAR-CODE"/>
      <sheetName val=" QR-CODE"/>
      <sheetName val="ENTER"/>
      <sheetName val="Right Duplicate"/>
      <sheetName val="custom"/>
      <sheetName val="Result"/>
      <sheetName val="ATTENDANCE SHEET"/>
      <sheetName val="Salary Sheet"/>
      <sheetName val="Account no."/>
      <sheetName val="MOBILE NO. +91"/>
      <sheetName val="PIVOT TABLE"/>
      <sheetName val="PIVOT CHART"/>
      <sheetName val="PIVOT INSERT SLICER"/>
      <sheetName val="TIME LINE ( Order Data Cmart) "/>
      <sheetName val="GROUPING | COUSTUM GROUPING"/>
      <sheetName val="PIVOT TABLE OPTIONS"/>
    </sheetNames>
    <sheetDataSet>
      <sheetData sheetId="0"/>
      <sheetData sheetId="1"/>
      <sheetData sheetId="2"/>
      <sheetData sheetId="3">
        <row r="2">
          <cell r="B2" t="str">
            <v>Name</v>
          </cell>
          <cell r="C2" t="str">
            <v>Attendance</v>
          </cell>
        </row>
        <row r="3">
          <cell r="B3" t="str">
            <v>Rajesh</v>
          </cell>
          <cell r="C3">
            <v>28</v>
          </cell>
        </row>
        <row r="4">
          <cell r="B4" t="str">
            <v>Mahesh</v>
          </cell>
          <cell r="C4">
            <v>26</v>
          </cell>
        </row>
        <row r="5">
          <cell r="B5" t="str">
            <v>Suresh</v>
          </cell>
          <cell r="C5">
            <v>28</v>
          </cell>
        </row>
        <row r="6">
          <cell r="B6" t="str">
            <v>Naresh</v>
          </cell>
          <cell r="C6">
            <v>29</v>
          </cell>
        </row>
        <row r="7">
          <cell r="B7" t="str">
            <v>Harsh</v>
          </cell>
          <cell r="C7">
            <v>30</v>
          </cell>
        </row>
        <row r="8">
          <cell r="B8" t="str">
            <v>Jai</v>
          </cell>
          <cell r="C8">
            <v>24</v>
          </cell>
        </row>
        <row r="9">
          <cell r="B9" t="str">
            <v>Punit</v>
          </cell>
          <cell r="C9">
            <v>25</v>
          </cell>
        </row>
        <row r="10">
          <cell r="B10" t="str">
            <v>Nishant</v>
          </cell>
          <cell r="C10">
            <v>26</v>
          </cell>
        </row>
        <row r="11">
          <cell r="B11" t="str">
            <v>Vijay</v>
          </cell>
          <cell r="C11">
            <v>28</v>
          </cell>
        </row>
        <row r="12">
          <cell r="B12" t="str">
            <v>Vikram</v>
          </cell>
          <cell r="C12">
            <v>27</v>
          </cell>
        </row>
        <row r="13">
          <cell r="B13" t="str">
            <v>Lakhan</v>
          </cell>
          <cell r="C13">
            <v>25</v>
          </cell>
        </row>
        <row r="14">
          <cell r="B14" t="str">
            <v>Sumit</v>
          </cell>
          <cell r="C14">
            <v>30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09858E-B6FF-40BE-9EFC-8FB9E22A5CAF}" name="Table1" displayName="Table1" ref="B3:E19" totalsRowShown="0" headerRowDxfId="7" headerRowBorderDxfId="6" tableBorderDxfId="5" totalsRowBorderDxfId="4">
  <autoFilter ref="B3:E19" xr:uid="{B009858E-B6FF-40BE-9EFC-8FB9E22A5CAF}"/>
  <tableColumns count="4">
    <tableColumn id="1" xr3:uid="{A76A2A80-BBF0-4CD4-AD7B-88D97B52FF0E}" name="Product ID" dataDxfId="3"/>
    <tableColumn id="2" xr3:uid="{11E43488-43CD-4593-8D8E-0EFE98EC3661}" name="Product" dataDxfId="2"/>
    <tableColumn id="3" xr3:uid="{DEF5E263-FB94-4EEA-B356-974FAADCD74F}" name="Region" dataDxfId="1"/>
    <tableColumn id="4" xr3:uid="{1F12E5C7-C544-4E8A-B858-DB684A469829}" name="Qty Sol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1C14A-BB0E-4D4C-A718-EDD79AC3BB6C}">
  <dimension ref="C4:J16"/>
  <sheetViews>
    <sheetView workbookViewId="0">
      <selection activeCell="J6" sqref="J6"/>
    </sheetView>
  </sheetViews>
  <sheetFormatPr defaultRowHeight="14.4" x14ac:dyDescent="0.3"/>
  <cols>
    <col min="3" max="5" width="21.109375" customWidth="1"/>
    <col min="6" max="10" width="20.88671875" customWidth="1"/>
  </cols>
  <sheetData>
    <row r="4" spans="3:10" ht="21" x14ac:dyDescent="0.3">
      <c r="C4" s="1" t="s">
        <v>0</v>
      </c>
      <c r="D4" s="1" t="s">
        <v>1</v>
      </c>
      <c r="E4" s="1" t="s">
        <v>2</v>
      </c>
      <c r="F4" s="1" t="s">
        <v>3</v>
      </c>
      <c r="G4" s="1" t="s">
        <v>0</v>
      </c>
      <c r="H4" s="1" t="s">
        <v>1</v>
      </c>
      <c r="I4" s="1" t="s">
        <v>2</v>
      </c>
      <c r="J4" s="1" t="s">
        <v>3</v>
      </c>
    </row>
    <row r="5" spans="3:10" ht="23.4" x14ac:dyDescent="0.3">
      <c r="C5" s="2" t="s">
        <v>4</v>
      </c>
      <c r="D5" s="2" t="s">
        <v>5</v>
      </c>
      <c r="E5" s="3">
        <v>30000</v>
      </c>
      <c r="F5" s="4" t="s">
        <v>6</v>
      </c>
      <c r="G5" s="2" t="s">
        <v>7</v>
      </c>
      <c r="H5" s="5" t="str">
        <f>VLOOKUP(G5,C4:F16,2,0)</f>
        <v>CPU</v>
      </c>
      <c r="I5" s="5">
        <f>VLOOKUP(H5,D4:G16,2,0)</f>
        <v>22000</v>
      </c>
      <c r="J5" s="5" t="str">
        <f>VLOOKUP(I5,E4:H16,2,0)</f>
        <v>03-13-2024</v>
      </c>
    </row>
    <row r="6" spans="3:10" ht="23.4" x14ac:dyDescent="0.3">
      <c r="C6" s="2" t="s">
        <v>8</v>
      </c>
      <c r="D6" s="2" t="s">
        <v>9</v>
      </c>
      <c r="E6" s="3">
        <v>5000</v>
      </c>
      <c r="F6" s="4" t="s">
        <v>10</v>
      </c>
      <c r="G6" s="49" t="s">
        <v>28</v>
      </c>
      <c r="H6" t="str">
        <f>VLOOKUP(G6,C4:F16,2,0)</f>
        <v>Pendrive</v>
      </c>
      <c r="I6">
        <f t="shared" ref="I6:J6" si="0">VLOOKUP(H6,D4:G16,2,0)</f>
        <v>2500</v>
      </c>
      <c r="J6" s="50">
        <f t="shared" si="0"/>
        <v>45355</v>
      </c>
    </row>
    <row r="7" spans="3:10" ht="23.4" x14ac:dyDescent="0.3">
      <c r="C7" s="2" t="s">
        <v>11</v>
      </c>
      <c r="D7" s="2" t="s">
        <v>12</v>
      </c>
      <c r="E7" s="3">
        <v>10000</v>
      </c>
      <c r="F7" s="4">
        <v>45598</v>
      </c>
    </row>
    <row r="8" spans="3:10" ht="23.4" x14ac:dyDescent="0.3">
      <c r="C8" s="2" t="s">
        <v>13</v>
      </c>
      <c r="D8" s="2" t="s">
        <v>14</v>
      </c>
      <c r="E8" s="3">
        <v>25000</v>
      </c>
      <c r="F8" s="4">
        <v>45628</v>
      </c>
    </row>
    <row r="9" spans="3:10" ht="23.4" x14ac:dyDescent="0.3">
      <c r="C9" s="2" t="s">
        <v>7</v>
      </c>
      <c r="D9" s="2" t="s">
        <v>15</v>
      </c>
      <c r="E9" s="3">
        <v>22000</v>
      </c>
      <c r="F9" s="4" t="s">
        <v>16</v>
      </c>
    </row>
    <row r="10" spans="3:10" ht="23.4" x14ac:dyDescent="0.3">
      <c r="C10" s="2" t="s">
        <v>17</v>
      </c>
      <c r="D10" s="2" t="s">
        <v>18</v>
      </c>
      <c r="E10" s="3">
        <v>2000</v>
      </c>
      <c r="F10" s="4" t="s">
        <v>19</v>
      </c>
    </row>
    <row r="11" spans="3:10" ht="23.4" x14ac:dyDescent="0.3">
      <c r="C11" s="2" t="s">
        <v>20</v>
      </c>
      <c r="D11" s="2" t="s">
        <v>21</v>
      </c>
      <c r="E11" s="3">
        <v>4000</v>
      </c>
      <c r="F11" s="4" t="s">
        <v>22</v>
      </c>
    </row>
    <row r="12" spans="3:10" ht="23.4" x14ac:dyDescent="0.3">
      <c r="C12" s="2" t="s">
        <v>23</v>
      </c>
      <c r="D12" s="2" t="s">
        <v>24</v>
      </c>
      <c r="E12" s="3">
        <v>35000</v>
      </c>
      <c r="F12" s="4" t="s">
        <v>25</v>
      </c>
    </row>
    <row r="13" spans="3:10" ht="23.4" x14ac:dyDescent="0.3">
      <c r="C13" s="2" t="s">
        <v>26</v>
      </c>
      <c r="D13" s="2" t="s">
        <v>27</v>
      </c>
      <c r="E13" s="3">
        <v>15000</v>
      </c>
      <c r="F13" s="4">
        <v>45326</v>
      </c>
    </row>
    <row r="14" spans="3:10" ht="23.4" x14ac:dyDescent="0.3">
      <c r="C14" s="2" t="s">
        <v>28</v>
      </c>
      <c r="D14" s="2" t="s">
        <v>29</v>
      </c>
      <c r="E14" s="3">
        <v>2500</v>
      </c>
      <c r="F14" s="4">
        <v>45355</v>
      </c>
    </row>
    <row r="15" spans="3:10" ht="23.4" x14ac:dyDescent="0.3">
      <c r="C15" s="2" t="s">
        <v>30</v>
      </c>
      <c r="D15" s="2" t="s">
        <v>31</v>
      </c>
      <c r="E15" s="3">
        <v>1500</v>
      </c>
      <c r="F15" s="4">
        <v>45385</v>
      </c>
    </row>
    <row r="16" spans="3:10" ht="23.4" x14ac:dyDescent="0.3">
      <c r="C16" s="2" t="s">
        <v>32</v>
      </c>
      <c r="D16" s="2" t="s">
        <v>33</v>
      </c>
      <c r="E16" s="3">
        <v>3000</v>
      </c>
      <c r="F16" s="4" t="s">
        <v>34</v>
      </c>
    </row>
  </sheetData>
  <autoFilter ref="C4:J4" xr:uid="{C731C14A-BB0E-4D4C-A718-EDD79AC3BB6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B85A4-F76C-4530-855A-81089EFD01D2}">
  <dimension ref="B2:I14"/>
  <sheetViews>
    <sheetView workbookViewId="0">
      <selection activeCell="H5" sqref="H5"/>
    </sheetView>
  </sheetViews>
  <sheetFormatPr defaultRowHeight="14.4" x14ac:dyDescent="0.3"/>
  <cols>
    <col min="2" max="2" width="17" customWidth="1"/>
    <col min="3" max="3" width="27.33203125" customWidth="1"/>
    <col min="4" max="4" width="20.5546875" customWidth="1"/>
    <col min="5" max="5" width="19.88671875" customWidth="1"/>
    <col min="6" max="6" width="18" bestFit="1" customWidth="1"/>
    <col min="7" max="7" width="11.6640625" customWidth="1"/>
    <col min="8" max="9" width="18" bestFit="1" customWidth="1"/>
  </cols>
  <sheetData>
    <row r="2" spans="2:9" ht="23.4" x14ac:dyDescent="0.3">
      <c r="B2" s="6" t="s">
        <v>35</v>
      </c>
      <c r="C2" s="6" t="s">
        <v>36</v>
      </c>
      <c r="D2" s="6" t="s">
        <v>37</v>
      </c>
      <c r="E2" s="6" t="s">
        <v>38</v>
      </c>
      <c r="F2" s="6" t="s">
        <v>39</v>
      </c>
      <c r="H2" s="6" t="s">
        <v>35</v>
      </c>
      <c r="I2" s="6" t="s">
        <v>39</v>
      </c>
    </row>
    <row r="3" spans="2:9" ht="21" x14ac:dyDescent="0.4">
      <c r="B3" s="7">
        <v>101</v>
      </c>
      <c r="C3" s="7" t="s">
        <v>40</v>
      </c>
      <c r="D3" s="7" t="s">
        <v>41</v>
      </c>
      <c r="E3" s="8">
        <v>50000</v>
      </c>
      <c r="F3" s="9">
        <f>VLOOKUP(VLOOKUP(B3,B2:E14,2,0),'[1]Double Vlookup Sheet2'!B2:C14,2,0)</f>
        <v>28</v>
      </c>
      <c r="H3" s="7">
        <v>102</v>
      </c>
      <c r="I3" s="10">
        <f>VLOOKUP(VLOOKUP(H3,B2:E14,2,0),'[1]Double Vlookup Sheet2'!B2:C14,2,0)</f>
        <v>26</v>
      </c>
    </row>
    <row r="4" spans="2:9" ht="21" x14ac:dyDescent="0.4">
      <c r="B4" s="7">
        <v>102</v>
      </c>
      <c r="C4" s="7" t="s">
        <v>42</v>
      </c>
      <c r="D4" s="7" t="s">
        <v>43</v>
      </c>
      <c r="E4" s="8">
        <v>35000</v>
      </c>
      <c r="F4" s="9">
        <f>VLOOKUP(VLOOKUP(B4,B3:E15,2,0),'[1]Double Vlookup Sheet2'!B3:C15,2,0)</f>
        <v>26</v>
      </c>
      <c r="H4" s="11">
        <v>106</v>
      </c>
      <c r="I4">
        <f>VLOOKUP(VLOOKUP(H4,B2:E14,2,0),'Double Vlookup 2'!B2:C14,2,0)</f>
        <v>24</v>
      </c>
    </row>
    <row r="5" spans="2:9" ht="21" x14ac:dyDescent="0.4">
      <c r="B5" s="7">
        <v>103</v>
      </c>
      <c r="C5" s="7" t="s">
        <v>44</v>
      </c>
      <c r="D5" s="7" t="s">
        <v>45</v>
      </c>
      <c r="E5" s="8">
        <v>15000</v>
      </c>
      <c r="F5" s="9">
        <f>VLOOKUP(VLOOKUP(B5,B4:E16,2,0),'[1]Double Vlookup Sheet2'!B4:C16,2,0)</f>
        <v>28</v>
      </c>
      <c r="H5" s="11"/>
    </row>
    <row r="6" spans="2:9" ht="21" x14ac:dyDescent="0.4">
      <c r="B6" s="7">
        <v>104</v>
      </c>
      <c r="C6" s="7" t="s">
        <v>46</v>
      </c>
      <c r="D6" s="7" t="s">
        <v>47</v>
      </c>
      <c r="E6" s="8">
        <v>25000</v>
      </c>
      <c r="F6" s="9">
        <f>VLOOKUP(VLOOKUP(B6,B5:E17,2,0),'[1]Double Vlookup Sheet2'!B5:C17,2,0)</f>
        <v>29</v>
      </c>
      <c r="H6" s="11"/>
    </row>
    <row r="7" spans="2:9" ht="21" x14ac:dyDescent="0.4">
      <c r="B7" s="7">
        <v>105</v>
      </c>
      <c r="C7" s="7" t="s">
        <v>48</v>
      </c>
      <c r="D7" s="7" t="s">
        <v>45</v>
      </c>
      <c r="E7" s="8">
        <v>16000</v>
      </c>
      <c r="F7" s="9">
        <f>VLOOKUP(VLOOKUP(B7,B6:E18,2,0),'[1]Double Vlookup Sheet2'!B6:C18,2,0)</f>
        <v>30</v>
      </c>
      <c r="H7" s="11"/>
    </row>
    <row r="8" spans="2:9" ht="21" x14ac:dyDescent="0.4">
      <c r="B8" s="7">
        <v>106</v>
      </c>
      <c r="C8" s="7" t="s">
        <v>49</v>
      </c>
      <c r="D8" s="7" t="s">
        <v>45</v>
      </c>
      <c r="E8" s="8">
        <v>15000</v>
      </c>
      <c r="F8" s="9">
        <f>VLOOKUP(VLOOKUP(B8,B7:E19,2,0),'[1]Double Vlookup Sheet2'!B7:C19,2,0)</f>
        <v>24</v>
      </c>
      <c r="H8" s="11"/>
    </row>
    <row r="9" spans="2:9" ht="21" x14ac:dyDescent="0.4">
      <c r="B9" s="7">
        <v>107</v>
      </c>
      <c r="C9" s="7" t="s">
        <v>50</v>
      </c>
      <c r="D9" s="7" t="s">
        <v>51</v>
      </c>
      <c r="E9" s="8">
        <v>10000</v>
      </c>
      <c r="F9" s="9">
        <f>VLOOKUP(VLOOKUP(B9,B8:E20,2,0),'[1]Double Vlookup Sheet2'!B8:C20,2,0)</f>
        <v>25</v>
      </c>
      <c r="H9" s="11"/>
    </row>
    <row r="10" spans="2:9" ht="21" x14ac:dyDescent="0.4">
      <c r="B10" s="7">
        <v>108</v>
      </c>
      <c r="C10" s="7" t="s">
        <v>52</v>
      </c>
      <c r="D10" s="7" t="s">
        <v>53</v>
      </c>
      <c r="E10" s="8">
        <v>12000</v>
      </c>
      <c r="F10" s="9">
        <f>VLOOKUP(VLOOKUP(B10,B9:E21,2,0),'[1]Double Vlookup Sheet2'!B9:C21,2,0)</f>
        <v>26</v>
      </c>
      <c r="H10" s="11"/>
    </row>
    <row r="11" spans="2:9" ht="21" x14ac:dyDescent="0.3">
      <c r="B11" s="7">
        <v>109</v>
      </c>
      <c r="C11" s="7" t="s">
        <v>54</v>
      </c>
      <c r="D11" s="7" t="s">
        <v>55</v>
      </c>
      <c r="E11" s="8">
        <v>13000</v>
      </c>
      <c r="F11" s="9">
        <f>VLOOKUP(VLOOKUP(B11,B10:E22,2,0),'[1]Double Vlookup Sheet2'!B10:C22,2,0)</f>
        <v>28</v>
      </c>
    </row>
    <row r="12" spans="2:9" ht="21" x14ac:dyDescent="0.3">
      <c r="B12" s="7">
        <v>110</v>
      </c>
      <c r="C12" s="7" t="s">
        <v>56</v>
      </c>
      <c r="D12" s="7" t="s">
        <v>45</v>
      </c>
      <c r="E12" s="8">
        <v>15000</v>
      </c>
      <c r="F12" s="9">
        <f>VLOOKUP(VLOOKUP(B12,B11:E23,2,0),'[1]Double Vlookup Sheet2'!B11:C23,2,0)</f>
        <v>27</v>
      </c>
    </row>
    <row r="13" spans="2:9" ht="21" x14ac:dyDescent="0.3">
      <c r="B13" s="7">
        <v>111</v>
      </c>
      <c r="C13" s="7" t="s">
        <v>57</v>
      </c>
      <c r="D13" s="7" t="s">
        <v>45</v>
      </c>
      <c r="E13" s="8">
        <v>15000</v>
      </c>
      <c r="F13" s="9">
        <f>VLOOKUP(VLOOKUP(B13,B12:E24,2,0),'[1]Double Vlookup Sheet2'!B12:C24,2,0)</f>
        <v>25</v>
      </c>
    </row>
    <row r="14" spans="2:9" ht="21" x14ac:dyDescent="0.3">
      <c r="B14" s="7">
        <v>112</v>
      </c>
      <c r="C14" s="7" t="s">
        <v>58</v>
      </c>
      <c r="D14" s="7" t="s">
        <v>51</v>
      </c>
      <c r="E14" s="8">
        <v>10000</v>
      </c>
      <c r="F14" s="9">
        <f>VLOOKUP(VLOOKUP(B14,B13:E25,2,0),'[1]Double Vlookup Sheet2'!B13:C25,2,0)</f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9418C-A979-4118-8748-773FB56B5EB1}">
  <dimension ref="B2:C14"/>
  <sheetViews>
    <sheetView workbookViewId="0">
      <selection activeCell="K5" sqref="K5"/>
    </sheetView>
  </sheetViews>
  <sheetFormatPr defaultRowHeight="14.4" x14ac:dyDescent="0.3"/>
  <cols>
    <col min="2" max="2" width="16.6640625" customWidth="1"/>
    <col min="3" max="3" width="22.33203125" customWidth="1"/>
  </cols>
  <sheetData>
    <row r="2" spans="2:3" ht="23.4" x14ac:dyDescent="0.3">
      <c r="B2" s="6" t="s">
        <v>36</v>
      </c>
      <c r="C2" s="6" t="s">
        <v>39</v>
      </c>
    </row>
    <row r="3" spans="2:3" ht="21" x14ac:dyDescent="0.3">
      <c r="B3" s="7" t="s">
        <v>40</v>
      </c>
      <c r="C3" s="7">
        <v>28</v>
      </c>
    </row>
    <row r="4" spans="2:3" ht="21" x14ac:dyDescent="0.3">
      <c r="B4" s="7" t="s">
        <v>42</v>
      </c>
      <c r="C4" s="7">
        <v>26</v>
      </c>
    </row>
    <row r="5" spans="2:3" ht="21" x14ac:dyDescent="0.3">
      <c r="B5" s="7" t="s">
        <v>44</v>
      </c>
      <c r="C5" s="7">
        <v>28</v>
      </c>
    </row>
    <row r="6" spans="2:3" ht="21" x14ac:dyDescent="0.3">
      <c r="B6" s="7" t="s">
        <v>46</v>
      </c>
      <c r="C6" s="7">
        <v>29</v>
      </c>
    </row>
    <row r="7" spans="2:3" ht="21" x14ac:dyDescent="0.3">
      <c r="B7" s="7" t="s">
        <v>48</v>
      </c>
      <c r="C7" s="7">
        <v>30</v>
      </c>
    </row>
    <row r="8" spans="2:3" ht="21" x14ac:dyDescent="0.3">
      <c r="B8" s="7" t="s">
        <v>49</v>
      </c>
      <c r="C8" s="7">
        <v>24</v>
      </c>
    </row>
    <row r="9" spans="2:3" ht="21" x14ac:dyDescent="0.3">
      <c r="B9" s="7" t="s">
        <v>50</v>
      </c>
      <c r="C9" s="7">
        <v>25</v>
      </c>
    </row>
    <row r="10" spans="2:3" ht="21" x14ac:dyDescent="0.3">
      <c r="B10" s="7" t="s">
        <v>52</v>
      </c>
      <c r="C10" s="7">
        <v>26</v>
      </c>
    </row>
    <row r="11" spans="2:3" ht="21" x14ac:dyDescent="0.3">
      <c r="B11" s="7" t="s">
        <v>54</v>
      </c>
      <c r="C11" s="7">
        <v>28</v>
      </c>
    </row>
    <row r="12" spans="2:3" ht="21" x14ac:dyDescent="0.3">
      <c r="B12" s="7" t="s">
        <v>56</v>
      </c>
      <c r="C12" s="7">
        <v>27</v>
      </c>
    </row>
    <row r="13" spans="2:3" ht="21" x14ac:dyDescent="0.3">
      <c r="B13" s="7" t="s">
        <v>57</v>
      </c>
      <c r="C13" s="7">
        <v>25</v>
      </c>
    </row>
    <row r="14" spans="2:3" ht="21" x14ac:dyDescent="0.3">
      <c r="B14" s="7" t="s">
        <v>58</v>
      </c>
      <c r="C14" s="7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6F11D-412F-448E-9561-E9B9B88AD5D2}">
  <dimension ref="B2:J17"/>
  <sheetViews>
    <sheetView workbookViewId="0">
      <selection activeCell="H4" sqref="H4"/>
    </sheetView>
  </sheetViews>
  <sheetFormatPr defaultRowHeight="14.4" x14ac:dyDescent="0.3"/>
  <cols>
    <col min="2" max="2" width="9.6640625" bestFit="1" customWidth="1"/>
    <col min="3" max="3" width="16.109375" customWidth="1"/>
    <col min="4" max="4" width="18.44140625" bestFit="1" customWidth="1"/>
    <col min="5" max="5" width="19.33203125" bestFit="1" customWidth="1"/>
    <col min="7" max="7" width="11.5546875" customWidth="1"/>
    <col min="8" max="8" width="14.5546875" customWidth="1"/>
    <col min="9" max="9" width="20.6640625" customWidth="1"/>
    <col min="10" max="10" width="20.88671875" customWidth="1"/>
  </cols>
  <sheetData>
    <row r="2" spans="2:10" ht="23.4" x14ac:dyDescent="0.3">
      <c r="B2" s="12" t="s">
        <v>59</v>
      </c>
      <c r="C2" s="12" t="s">
        <v>36</v>
      </c>
      <c r="D2" s="12" t="s">
        <v>37</v>
      </c>
      <c r="E2" s="12" t="s">
        <v>60</v>
      </c>
    </row>
    <row r="3" spans="2:10" ht="23.4" x14ac:dyDescent="0.3">
      <c r="B3" s="13">
        <v>101</v>
      </c>
      <c r="C3" s="7" t="s">
        <v>40</v>
      </c>
      <c r="D3" s="7" t="s">
        <v>41</v>
      </c>
      <c r="E3" s="8">
        <v>50000</v>
      </c>
      <c r="G3" s="12" t="s">
        <v>59</v>
      </c>
      <c r="H3" s="12" t="s">
        <v>36</v>
      </c>
      <c r="I3" s="12" t="s">
        <v>37</v>
      </c>
      <c r="J3" s="12" t="s">
        <v>60</v>
      </c>
    </row>
    <row r="4" spans="2:10" ht="21" x14ac:dyDescent="0.3">
      <c r="B4" s="13">
        <v>102</v>
      </c>
      <c r="C4" s="7" t="s">
        <v>42</v>
      </c>
      <c r="D4" s="7" t="s">
        <v>43</v>
      </c>
      <c r="E4" s="8">
        <v>35000</v>
      </c>
      <c r="G4" s="13">
        <v>103</v>
      </c>
      <c r="H4" s="13" t="str">
        <f>VLOOKUP($G$4,$B$2:$E$17,COLUMNS($B$2:C2),0)</f>
        <v>Suresh</v>
      </c>
      <c r="I4" s="13" t="str">
        <f t="shared" ref="I4:J4" si="0">VLOOKUP(H4,C2:F17,COLUMNS(C2:D2),0)</f>
        <v>Staff</v>
      </c>
      <c r="J4" s="13">
        <f t="shared" si="0"/>
        <v>15000</v>
      </c>
    </row>
    <row r="5" spans="2:10" ht="21" x14ac:dyDescent="0.3">
      <c r="B5" s="13">
        <v>103</v>
      </c>
      <c r="C5" s="7" t="s">
        <v>44</v>
      </c>
      <c r="D5" s="7" t="s">
        <v>45</v>
      </c>
      <c r="E5" s="8">
        <v>15000</v>
      </c>
    </row>
    <row r="6" spans="2:10" ht="23.4" x14ac:dyDescent="0.3">
      <c r="B6" s="13">
        <v>104</v>
      </c>
      <c r="C6" s="7" t="s">
        <v>46</v>
      </c>
      <c r="D6" s="7" t="s">
        <v>47</v>
      </c>
      <c r="E6" s="8">
        <v>25000</v>
      </c>
      <c r="G6" s="14"/>
      <c r="H6" s="14"/>
      <c r="I6" s="14"/>
      <c r="J6" s="14"/>
    </row>
    <row r="7" spans="2:10" ht="21" x14ac:dyDescent="0.3">
      <c r="B7" s="13">
        <v>105</v>
      </c>
      <c r="C7" s="7" t="s">
        <v>48</v>
      </c>
      <c r="D7" s="7" t="s">
        <v>45</v>
      </c>
      <c r="E7" s="8">
        <v>16000</v>
      </c>
    </row>
    <row r="8" spans="2:10" ht="21" x14ac:dyDescent="0.3">
      <c r="B8" s="13">
        <v>106</v>
      </c>
      <c r="C8" s="7" t="s">
        <v>49</v>
      </c>
      <c r="D8" s="7" t="s">
        <v>45</v>
      </c>
      <c r="E8" s="8">
        <v>15000</v>
      </c>
    </row>
    <row r="9" spans="2:10" ht="21" x14ac:dyDescent="0.3">
      <c r="B9" s="13">
        <v>107</v>
      </c>
      <c r="C9" s="7" t="s">
        <v>50</v>
      </c>
      <c r="D9" s="7" t="s">
        <v>51</v>
      </c>
      <c r="E9" s="8">
        <v>10000</v>
      </c>
    </row>
    <row r="10" spans="2:10" ht="21" x14ac:dyDescent="0.3">
      <c r="B10" s="13">
        <v>108</v>
      </c>
      <c r="C10" s="7" t="s">
        <v>52</v>
      </c>
      <c r="D10" s="7" t="s">
        <v>53</v>
      </c>
      <c r="E10" s="8">
        <v>12000</v>
      </c>
    </row>
    <row r="11" spans="2:10" ht="21" x14ac:dyDescent="0.3">
      <c r="B11" s="13">
        <v>109</v>
      </c>
      <c r="C11" s="7" t="s">
        <v>54</v>
      </c>
      <c r="D11" s="7" t="s">
        <v>55</v>
      </c>
      <c r="E11" s="8">
        <v>13000</v>
      </c>
    </row>
    <row r="12" spans="2:10" ht="21" x14ac:dyDescent="0.3">
      <c r="B12" s="13">
        <v>110</v>
      </c>
      <c r="C12" s="7" t="s">
        <v>56</v>
      </c>
      <c r="D12" s="7" t="s">
        <v>45</v>
      </c>
      <c r="E12" s="8">
        <v>15000</v>
      </c>
    </row>
    <row r="13" spans="2:10" ht="21" x14ac:dyDescent="0.3">
      <c r="B13" s="13">
        <v>111</v>
      </c>
      <c r="C13" s="7" t="s">
        <v>57</v>
      </c>
      <c r="D13" s="7" t="s">
        <v>45</v>
      </c>
      <c r="E13" s="8">
        <v>15000</v>
      </c>
    </row>
    <row r="14" spans="2:10" ht="21" x14ac:dyDescent="0.3">
      <c r="B14" s="13">
        <v>112</v>
      </c>
      <c r="C14" s="7" t="s">
        <v>58</v>
      </c>
      <c r="D14" s="7" t="s">
        <v>51</v>
      </c>
      <c r="E14" s="8">
        <v>10000</v>
      </c>
    </row>
    <row r="15" spans="2:10" ht="18" x14ac:dyDescent="0.3">
      <c r="B15" s="13">
        <v>113</v>
      </c>
      <c r="C15" s="13" t="s">
        <v>52</v>
      </c>
      <c r="D15" s="13" t="s">
        <v>45</v>
      </c>
      <c r="E15" s="15">
        <v>15000</v>
      </c>
    </row>
    <row r="16" spans="2:10" ht="18" x14ac:dyDescent="0.3">
      <c r="B16" s="13">
        <v>114</v>
      </c>
      <c r="C16" s="13" t="s">
        <v>61</v>
      </c>
      <c r="D16" s="13" t="s">
        <v>51</v>
      </c>
      <c r="E16" s="15">
        <v>10000</v>
      </c>
    </row>
    <row r="17" spans="2:5" ht="18" x14ac:dyDescent="0.3">
      <c r="B17" s="13">
        <v>115</v>
      </c>
      <c r="C17" s="13" t="s">
        <v>62</v>
      </c>
      <c r="D17" s="13" t="s">
        <v>45</v>
      </c>
      <c r="E17" s="15">
        <v>15000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F6B17-97ED-4C77-96CF-F978652B055F}">
  <sheetPr>
    <tabColor rgb="FFFF0000"/>
  </sheetPr>
  <dimension ref="A1:J19"/>
  <sheetViews>
    <sheetView workbookViewId="0">
      <selection activeCell="J13" sqref="J13"/>
    </sheetView>
  </sheetViews>
  <sheetFormatPr defaultRowHeight="14.4" x14ac:dyDescent="0.3"/>
  <cols>
    <col min="2" max="2" width="17.6640625" customWidth="1"/>
    <col min="3" max="3" width="25.44140625" customWidth="1"/>
    <col min="4" max="4" width="19" customWidth="1"/>
    <col min="5" max="5" width="24.44140625" customWidth="1"/>
    <col min="7" max="7" width="19.5546875" customWidth="1"/>
    <col min="8" max="8" width="20.21875" customWidth="1"/>
    <col min="9" max="9" width="20.33203125" customWidth="1"/>
    <col min="10" max="10" width="18.44140625" customWidth="1"/>
  </cols>
  <sheetData>
    <row r="1" spans="1:10" ht="23.4" x14ac:dyDescent="0.3">
      <c r="A1" s="20">
        <v>1</v>
      </c>
      <c r="B1" s="47" t="s">
        <v>97</v>
      </c>
      <c r="C1" s="47"/>
      <c r="D1" s="47"/>
      <c r="E1" s="47"/>
    </row>
    <row r="2" spans="1:10" ht="15" thickBot="1" x14ac:dyDescent="0.35"/>
    <row r="3" spans="1:10" ht="24.6" thickTop="1" thickBot="1" x14ac:dyDescent="0.35">
      <c r="B3" s="21" t="s">
        <v>66</v>
      </c>
      <c r="C3" s="16" t="s">
        <v>65</v>
      </c>
      <c r="D3" s="16" t="s">
        <v>64</v>
      </c>
      <c r="E3" s="16" t="s">
        <v>63</v>
      </c>
      <c r="G3" s="16" t="s">
        <v>66</v>
      </c>
      <c r="H3" s="16" t="s">
        <v>65</v>
      </c>
    </row>
    <row r="4" spans="1:10" ht="22.2" thickTop="1" thickBot="1" x14ac:dyDescent="0.35">
      <c r="B4" s="18" t="s">
        <v>67</v>
      </c>
      <c r="C4" s="19" t="s">
        <v>9</v>
      </c>
      <c r="D4" s="19" t="s">
        <v>93</v>
      </c>
      <c r="E4" s="19">
        <v>100</v>
      </c>
      <c r="G4" s="19" t="s">
        <v>68</v>
      </c>
      <c r="H4" s="19" t="str">
        <f>VLOOKUP(G4,B3:E18,2,0)</f>
        <v>Moniter</v>
      </c>
    </row>
    <row r="5" spans="1:10" ht="22.2" thickTop="1" thickBot="1" x14ac:dyDescent="0.35">
      <c r="B5" s="19" t="s">
        <v>68</v>
      </c>
      <c r="C5" s="19" t="s">
        <v>14</v>
      </c>
      <c r="D5" s="19" t="s">
        <v>94</v>
      </c>
      <c r="E5" s="19">
        <v>230</v>
      </c>
    </row>
    <row r="6" spans="1:10" ht="24.6" thickTop="1" thickBot="1" x14ac:dyDescent="0.35">
      <c r="B6" s="19" t="s">
        <v>69</v>
      </c>
      <c r="C6" s="19" t="s">
        <v>24</v>
      </c>
      <c r="D6" s="19" t="s">
        <v>95</v>
      </c>
      <c r="E6" s="19">
        <v>120</v>
      </c>
      <c r="G6" s="16" t="s">
        <v>65</v>
      </c>
      <c r="H6" s="16" t="s">
        <v>63</v>
      </c>
    </row>
    <row r="7" spans="1:10" ht="22.2" thickTop="1" thickBot="1" x14ac:dyDescent="0.35">
      <c r="B7" s="19" t="s">
        <v>70</v>
      </c>
      <c r="C7" s="19" t="s">
        <v>82</v>
      </c>
      <c r="D7" s="19" t="s">
        <v>96</v>
      </c>
      <c r="E7" s="19">
        <v>144</v>
      </c>
      <c r="G7" s="17" t="s">
        <v>14</v>
      </c>
      <c r="H7" s="19">
        <f>VLOOKUP(G7,C3:E18,3,0)</f>
        <v>230</v>
      </c>
    </row>
    <row r="8" spans="1:10" ht="22.2" thickTop="1" thickBot="1" x14ac:dyDescent="0.35">
      <c r="B8" s="19" t="s">
        <v>71</v>
      </c>
      <c r="C8" s="19" t="s">
        <v>83</v>
      </c>
      <c r="D8" s="19" t="s">
        <v>93</v>
      </c>
      <c r="E8" s="19">
        <v>50</v>
      </c>
    </row>
    <row r="9" spans="1:10" ht="24.6" thickTop="1" thickBot="1" x14ac:dyDescent="0.35">
      <c r="B9" s="19" t="s">
        <v>72</v>
      </c>
      <c r="C9" s="19" t="s">
        <v>84</v>
      </c>
      <c r="D9" s="19" t="s">
        <v>94</v>
      </c>
      <c r="E9" s="19">
        <v>340</v>
      </c>
      <c r="G9" s="16" t="s">
        <v>66</v>
      </c>
      <c r="H9" s="16" t="s">
        <v>65</v>
      </c>
      <c r="I9" s="16" t="s">
        <v>64</v>
      </c>
      <c r="J9" s="16" t="s">
        <v>63</v>
      </c>
    </row>
    <row r="10" spans="1:10" ht="22.2" thickTop="1" thickBot="1" x14ac:dyDescent="0.35">
      <c r="B10" s="19" t="s">
        <v>73</v>
      </c>
      <c r="C10" s="19" t="s">
        <v>85</v>
      </c>
      <c r="D10" s="19" t="s">
        <v>95</v>
      </c>
      <c r="E10" s="19">
        <v>210</v>
      </c>
      <c r="G10" s="17" t="s">
        <v>73</v>
      </c>
      <c r="H10" s="19" t="str">
        <f>VLOOKUP(G10,$B$3:$E$18,2,0)</f>
        <v>RGB Light</v>
      </c>
      <c r="I10" s="19" t="str">
        <f>VLOOKUP(G10,B3:E18,3,0)</f>
        <v>South</v>
      </c>
      <c r="J10" s="19">
        <f>VLOOKUP(G10,B3:E18,4,0)</f>
        <v>210</v>
      </c>
    </row>
    <row r="11" spans="1:10" ht="22.2" thickTop="1" thickBot="1" x14ac:dyDescent="0.35">
      <c r="B11" s="19" t="s">
        <v>74</v>
      </c>
      <c r="C11" s="19" t="s">
        <v>86</v>
      </c>
      <c r="D11" s="19" t="s">
        <v>96</v>
      </c>
      <c r="E11" s="19">
        <v>170</v>
      </c>
    </row>
    <row r="12" spans="1:10" ht="22.2" thickTop="1" thickBot="1" x14ac:dyDescent="0.35">
      <c r="B12" s="19" t="s">
        <v>75</v>
      </c>
      <c r="C12" s="19" t="s">
        <v>12</v>
      </c>
      <c r="D12" s="19" t="s">
        <v>93</v>
      </c>
      <c r="E12" s="19">
        <v>55</v>
      </c>
    </row>
    <row r="13" spans="1:10" ht="22.2" thickTop="1" thickBot="1" x14ac:dyDescent="0.35">
      <c r="B13" s="19" t="s">
        <v>76</v>
      </c>
      <c r="C13" s="19" t="s">
        <v>87</v>
      </c>
      <c r="D13" s="19" t="s">
        <v>94</v>
      </c>
      <c r="E13" s="19">
        <v>77</v>
      </c>
    </row>
    <row r="14" spans="1:10" ht="22.2" thickTop="1" thickBot="1" x14ac:dyDescent="0.35">
      <c r="B14" s="19" t="s">
        <v>79</v>
      </c>
      <c r="C14" s="19" t="s">
        <v>88</v>
      </c>
      <c r="D14" s="19" t="s">
        <v>95</v>
      </c>
      <c r="E14" s="19">
        <v>154</v>
      </c>
    </row>
    <row r="15" spans="1:10" ht="22.2" thickTop="1" thickBot="1" x14ac:dyDescent="0.35">
      <c r="B15" s="19" t="s">
        <v>77</v>
      </c>
      <c r="C15" s="19" t="s">
        <v>89</v>
      </c>
      <c r="D15" s="19" t="s">
        <v>96</v>
      </c>
      <c r="E15" s="19">
        <v>230</v>
      </c>
    </row>
    <row r="16" spans="1:10" ht="22.2" thickTop="1" thickBot="1" x14ac:dyDescent="0.35">
      <c r="B16" s="19" t="s">
        <v>78</v>
      </c>
      <c r="C16" s="19" t="s">
        <v>90</v>
      </c>
      <c r="D16" s="19" t="s">
        <v>93</v>
      </c>
      <c r="E16" s="19">
        <v>450</v>
      </c>
    </row>
    <row r="17" spans="2:5" ht="22.2" thickTop="1" thickBot="1" x14ac:dyDescent="0.35">
      <c r="B17" s="19" t="s">
        <v>80</v>
      </c>
      <c r="C17" s="19" t="s">
        <v>91</v>
      </c>
      <c r="D17" s="19" t="s">
        <v>94</v>
      </c>
      <c r="E17" s="19">
        <v>230</v>
      </c>
    </row>
    <row r="18" spans="2:5" ht="22.2" thickTop="1" thickBot="1" x14ac:dyDescent="0.35">
      <c r="B18" s="19" t="s">
        <v>81</v>
      </c>
      <c r="C18" s="19" t="s">
        <v>92</v>
      </c>
      <c r="D18" s="19" t="s">
        <v>95</v>
      </c>
      <c r="E18" s="19">
        <v>450</v>
      </c>
    </row>
    <row r="19" spans="2:5" ht="15" thickTop="1" x14ac:dyDescent="0.3"/>
  </sheetData>
  <mergeCells count="1">
    <mergeCell ref="B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4B611-D340-4507-94F6-CA84D041FA14}">
  <sheetPr>
    <tabColor rgb="FFFF0000"/>
  </sheetPr>
  <dimension ref="A1:H19"/>
  <sheetViews>
    <sheetView workbookViewId="0">
      <selection activeCell="K5" sqref="K5"/>
    </sheetView>
  </sheetViews>
  <sheetFormatPr defaultRowHeight="14.4" x14ac:dyDescent="0.3"/>
  <cols>
    <col min="1" max="1" width="8.5546875" customWidth="1"/>
    <col min="2" max="2" width="20.6640625" customWidth="1"/>
    <col min="3" max="3" width="35.77734375" customWidth="1"/>
    <col min="4" max="4" width="20.44140625" customWidth="1"/>
    <col min="5" max="5" width="20" customWidth="1"/>
    <col min="7" max="7" width="16.88671875" customWidth="1"/>
    <col min="8" max="8" width="16.77734375" customWidth="1"/>
  </cols>
  <sheetData>
    <row r="1" spans="1:8" ht="23.4" x14ac:dyDescent="0.3">
      <c r="A1" s="20">
        <v>2</v>
      </c>
      <c r="B1" s="47" t="s">
        <v>98</v>
      </c>
      <c r="C1" s="47"/>
      <c r="D1" s="47"/>
      <c r="E1" s="47"/>
    </row>
    <row r="2" spans="1:8" ht="15" thickBot="1" x14ac:dyDescent="0.35"/>
    <row r="3" spans="1:8" ht="24.6" thickTop="1" thickBot="1" x14ac:dyDescent="0.35">
      <c r="B3" s="21" t="s">
        <v>66</v>
      </c>
      <c r="C3" s="16" t="s">
        <v>65</v>
      </c>
      <c r="D3" s="16" t="s">
        <v>64</v>
      </c>
      <c r="E3" s="16" t="s">
        <v>63</v>
      </c>
      <c r="G3" s="16" t="s">
        <v>66</v>
      </c>
      <c r="H3" s="16" t="s">
        <v>65</v>
      </c>
    </row>
    <row r="4" spans="1:8" ht="22.2" thickTop="1" thickBot="1" x14ac:dyDescent="0.35">
      <c r="B4" s="18" t="s">
        <v>67</v>
      </c>
      <c r="C4" s="19" t="s">
        <v>9</v>
      </c>
      <c r="D4" s="19" t="s">
        <v>93</v>
      </c>
      <c r="E4" s="19">
        <v>100</v>
      </c>
      <c r="G4" s="19" t="s">
        <v>99</v>
      </c>
      <c r="H4" s="19" t="str">
        <f>IFERROR(VLOOKUP(G4,B3:E18,2,0),"no")</f>
        <v>no</v>
      </c>
    </row>
    <row r="5" spans="1:8" ht="22.2" thickTop="1" thickBot="1" x14ac:dyDescent="0.35">
      <c r="B5" s="19" t="s">
        <v>68</v>
      </c>
      <c r="C5" s="19" t="s">
        <v>14</v>
      </c>
      <c r="D5" s="19" t="s">
        <v>94</v>
      </c>
      <c r="E5" s="19">
        <v>230</v>
      </c>
      <c r="G5" s="19" t="s">
        <v>100</v>
      </c>
      <c r="H5" s="19" t="str">
        <f>IFERROR(VLOOKUP(G5,B4:E19,2,0),"")</f>
        <v/>
      </c>
    </row>
    <row r="6" spans="1:8" ht="22.2" thickTop="1" thickBot="1" x14ac:dyDescent="0.35">
      <c r="B6" s="19" t="s">
        <v>69</v>
      </c>
      <c r="C6" s="19" t="s">
        <v>24</v>
      </c>
      <c r="D6" s="19" t="s">
        <v>95</v>
      </c>
      <c r="E6" s="19">
        <v>120</v>
      </c>
    </row>
    <row r="7" spans="1:8" ht="22.2" thickTop="1" thickBot="1" x14ac:dyDescent="0.35">
      <c r="B7" s="19" t="s">
        <v>70</v>
      </c>
      <c r="C7" s="19" t="s">
        <v>82</v>
      </c>
      <c r="D7" s="19" t="s">
        <v>96</v>
      </c>
      <c r="E7" s="19">
        <v>144</v>
      </c>
    </row>
    <row r="8" spans="1:8" ht="22.2" thickTop="1" thickBot="1" x14ac:dyDescent="0.35">
      <c r="B8" s="19" t="s">
        <v>71</v>
      </c>
      <c r="C8" s="19" t="s">
        <v>83</v>
      </c>
      <c r="D8" s="19" t="s">
        <v>93</v>
      </c>
      <c r="E8" s="19">
        <v>50</v>
      </c>
    </row>
    <row r="9" spans="1:8" ht="22.2" thickTop="1" thickBot="1" x14ac:dyDescent="0.35">
      <c r="B9" s="19" t="s">
        <v>72</v>
      </c>
      <c r="C9" s="19" t="s">
        <v>84</v>
      </c>
      <c r="D9" s="19" t="s">
        <v>94</v>
      </c>
      <c r="E9" s="19">
        <v>340</v>
      </c>
    </row>
    <row r="10" spans="1:8" ht="22.2" thickTop="1" thickBot="1" x14ac:dyDescent="0.35">
      <c r="B10" s="19" t="s">
        <v>73</v>
      </c>
      <c r="C10" s="19" t="s">
        <v>85</v>
      </c>
      <c r="D10" s="19" t="s">
        <v>95</v>
      </c>
      <c r="E10" s="19">
        <v>210</v>
      </c>
    </row>
    <row r="11" spans="1:8" ht="22.2" thickTop="1" thickBot="1" x14ac:dyDescent="0.35">
      <c r="B11" s="19" t="s">
        <v>74</v>
      </c>
      <c r="C11" s="19" t="s">
        <v>86</v>
      </c>
      <c r="D11" s="19" t="s">
        <v>96</v>
      </c>
      <c r="E11" s="19">
        <v>170</v>
      </c>
    </row>
    <row r="12" spans="1:8" ht="22.2" thickTop="1" thickBot="1" x14ac:dyDescent="0.35">
      <c r="B12" s="19" t="s">
        <v>75</v>
      </c>
      <c r="C12" s="19" t="s">
        <v>12</v>
      </c>
      <c r="D12" s="19" t="s">
        <v>93</v>
      </c>
      <c r="E12" s="19">
        <v>55</v>
      </c>
    </row>
    <row r="13" spans="1:8" ht="22.2" thickTop="1" thickBot="1" x14ac:dyDescent="0.35">
      <c r="B13" s="19" t="s">
        <v>76</v>
      </c>
      <c r="C13" s="19" t="s">
        <v>87</v>
      </c>
      <c r="D13" s="19" t="s">
        <v>94</v>
      </c>
      <c r="E13" s="19">
        <v>77</v>
      </c>
    </row>
    <row r="14" spans="1:8" ht="22.2" thickTop="1" thickBot="1" x14ac:dyDescent="0.35">
      <c r="B14" s="19" t="s">
        <v>79</v>
      </c>
      <c r="C14" s="19" t="s">
        <v>88</v>
      </c>
      <c r="D14" s="19" t="s">
        <v>95</v>
      </c>
      <c r="E14" s="19">
        <v>154</v>
      </c>
    </row>
    <row r="15" spans="1:8" ht="22.2" thickTop="1" thickBot="1" x14ac:dyDescent="0.35">
      <c r="B15" s="19" t="s">
        <v>77</v>
      </c>
      <c r="C15" s="19" t="s">
        <v>89</v>
      </c>
      <c r="D15" s="19" t="s">
        <v>96</v>
      </c>
      <c r="E15" s="19">
        <v>230</v>
      </c>
    </row>
    <row r="16" spans="1:8" ht="22.2" thickTop="1" thickBot="1" x14ac:dyDescent="0.35">
      <c r="B16" s="19" t="s">
        <v>78</v>
      </c>
      <c r="C16" s="19" t="s">
        <v>90</v>
      </c>
      <c r="D16" s="19" t="s">
        <v>93</v>
      </c>
      <c r="E16" s="19">
        <v>450</v>
      </c>
    </row>
    <row r="17" spans="2:5" ht="22.2" thickTop="1" thickBot="1" x14ac:dyDescent="0.35">
      <c r="B17" s="19" t="s">
        <v>80</v>
      </c>
      <c r="C17" s="19" t="s">
        <v>91</v>
      </c>
      <c r="D17" s="19" t="s">
        <v>94</v>
      </c>
      <c r="E17" s="19">
        <v>230</v>
      </c>
    </row>
    <row r="18" spans="2:5" ht="22.2" thickTop="1" thickBot="1" x14ac:dyDescent="0.35">
      <c r="B18" s="19" t="s">
        <v>81</v>
      </c>
      <c r="C18" s="19" t="s">
        <v>92</v>
      </c>
      <c r="D18" s="19" t="s">
        <v>95</v>
      </c>
      <c r="E18" s="19">
        <v>450</v>
      </c>
    </row>
    <row r="19" spans="2:5" ht="15" thickTop="1" x14ac:dyDescent="0.3"/>
  </sheetData>
  <mergeCells count="1">
    <mergeCell ref="B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C3E43-91AD-44E4-AA8D-B6A518A0525A}">
  <sheetPr>
    <tabColor rgb="FFFF0000"/>
  </sheetPr>
  <dimension ref="A1:J19"/>
  <sheetViews>
    <sheetView workbookViewId="0">
      <selection activeCell="G3" sqref="G3:J3"/>
    </sheetView>
  </sheetViews>
  <sheetFormatPr defaultRowHeight="14.4" x14ac:dyDescent="0.3"/>
  <cols>
    <col min="1" max="1" width="8.5546875" customWidth="1"/>
    <col min="2" max="2" width="20.6640625" customWidth="1"/>
    <col min="3" max="3" width="35.77734375" customWidth="1"/>
    <col min="4" max="4" width="20.44140625" customWidth="1"/>
    <col min="5" max="5" width="20" customWidth="1"/>
    <col min="7" max="7" width="16.88671875" customWidth="1"/>
    <col min="8" max="8" width="16.77734375" customWidth="1"/>
    <col min="9" max="9" width="13" customWidth="1"/>
    <col min="10" max="10" width="14.44140625" customWidth="1"/>
  </cols>
  <sheetData>
    <row r="1" spans="1:10" ht="23.4" x14ac:dyDescent="0.3">
      <c r="A1" s="20">
        <v>3</v>
      </c>
      <c r="B1" s="48" t="s">
        <v>101</v>
      </c>
      <c r="C1" s="47"/>
      <c r="D1" s="47"/>
      <c r="E1" s="47"/>
    </row>
    <row r="2" spans="1:10" ht="15" thickBot="1" x14ac:dyDescent="0.35"/>
    <row r="3" spans="1:10" ht="24.6" thickTop="1" thickBot="1" x14ac:dyDescent="0.35">
      <c r="B3" s="21" t="s">
        <v>66</v>
      </c>
      <c r="C3" s="16" t="s">
        <v>65</v>
      </c>
      <c r="D3" s="16" t="s">
        <v>64</v>
      </c>
      <c r="E3" s="16" t="s">
        <v>63</v>
      </c>
      <c r="G3" s="16" t="s">
        <v>66</v>
      </c>
      <c r="H3" s="16" t="s">
        <v>65</v>
      </c>
      <c r="I3" s="16" t="s">
        <v>64</v>
      </c>
      <c r="J3" s="16" t="s">
        <v>63</v>
      </c>
    </row>
    <row r="4" spans="1:10" ht="22.2" thickTop="1" thickBot="1" x14ac:dyDescent="0.35">
      <c r="B4" s="18" t="s">
        <v>67</v>
      </c>
      <c r="C4" s="19" t="s">
        <v>9</v>
      </c>
      <c r="D4" s="19" t="s">
        <v>93</v>
      </c>
      <c r="E4" s="19">
        <v>100</v>
      </c>
      <c r="G4" s="18" t="s">
        <v>72</v>
      </c>
      <c r="H4" s="19" t="str">
        <f>VLOOKUP($G$4,$B$3:$E$18,COLUMNS($G$2:H2),0)</f>
        <v>Speaker</v>
      </c>
      <c r="I4" s="19" t="str">
        <f>VLOOKUP($G$4,$B$3:$E$18,COLUMNS($G$2:I2),0)</f>
        <v>West</v>
      </c>
      <c r="J4" s="19">
        <f>VLOOKUP($G$4,$B$3:$E$18,COLUMNS($G$2:J2),0)</f>
        <v>340</v>
      </c>
    </row>
    <row r="5" spans="1:10" ht="22.2" thickTop="1" thickBot="1" x14ac:dyDescent="0.35">
      <c r="B5" s="19" t="s">
        <v>68</v>
      </c>
      <c r="C5" s="19" t="s">
        <v>14</v>
      </c>
      <c r="D5" s="19" t="s">
        <v>94</v>
      </c>
      <c r="E5" s="19">
        <v>230</v>
      </c>
    </row>
    <row r="6" spans="1:10" ht="22.2" thickTop="1" thickBot="1" x14ac:dyDescent="0.35">
      <c r="B6" s="19" t="s">
        <v>69</v>
      </c>
      <c r="C6" s="19" t="s">
        <v>24</v>
      </c>
      <c r="D6" s="19" t="s">
        <v>95</v>
      </c>
      <c r="E6" s="19">
        <v>120</v>
      </c>
    </row>
    <row r="7" spans="1:10" ht="22.2" thickTop="1" thickBot="1" x14ac:dyDescent="0.35">
      <c r="B7" s="19" t="s">
        <v>70</v>
      </c>
      <c r="C7" s="19" t="s">
        <v>82</v>
      </c>
      <c r="D7" s="19" t="s">
        <v>96</v>
      </c>
      <c r="E7" s="19">
        <v>144</v>
      </c>
    </row>
    <row r="8" spans="1:10" ht="22.2" thickTop="1" thickBot="1" x14ac:dyDescent="0.35">
      <c r="B8" s="19" t="s">
        <v>71</v>
      </c>
      <c r="C8" s="19" t="s">
        <v>83</v>
      </c>
      <c r="D8" s="19" t="s">
        <v>93</v>
      </c>
      <c r="E8" s="19">
        <v>50</v>
      </c>
    </row>
    <row r="9" spans="1:10" ht="22.2" thickTop="1" thickBot="1" x14ac:dyDescent="0.35">
      <c r="B9" s="19" t="s">
        <v>72</v>
      </c>
      <c r="C9" s="19" t="s">
        <v>84</v>
      </c>
      <c r="D9" s="19" t="s">
        <v>94</v>
      </c>
      <c r="E9" s="19">
        <v>340</v>
      </c>
    </row>
    <row r="10" spans="1:10" ht="22.2" thickTop="1" thickBot="1" x14ac:dyDescent="0.35">
      <c r="B10" s="19" t="s">
        <v>73</v>
      </c>
      <c r="C10" s="19" t="s">
        <v>85</v>
      </c>
      <c r="D10" s="19" t="s">
        <v>95</v>
      </c>
      <c r="E10" s="19">
        <v>210</v>
      </c>
    </row>
    <row r="11" spans="1:10" ht="22.2" thickTop="1" thickBot="1" x14ac:dyDescent="0.35">
      <c r="B11" s="19" t="s">
        <v>74</v>
      </c>
      <c r="C11" s="19" t="s">
        <v>86</v>
      </c>
      <c r="D11" s="19" t="s">
        <v>96</v>
      </c>
      <c r="E11" s="19">
        <v>170</v>
      </c>
    </row>
    <row r="12" spans="1:10" ht="22.2" thickTop="1" thickBot="1" x14ac:dyDescent="0.35">
      <c r="B12" s="19" t="s">
        <v>75</v>
      </c>
      <c r="C12" s="19" t="s">
        <v>12</v>
      </c>
      <c r="D12" s="19" t="s">
        <v>93</v>
      </c>
      <c r="E12" s="19">
        <v>55</v>
      </c>
    </row>
    <row r="13" spans="1:10" ht="22.2" thickTop="1" thickBot="1" x14ac:dyDescent="0.35">
      <c r="B13" s="19" t="s">
        <v>76</v>
      </c>
      <c r="C13" s="19" t="s">
        <v>87</v>
      </c>
      <c r="D13" s="19" t="s">
        <v>94</v>
      </c>
      <c r="E13" s="19">
        <v>77</v>
      </c>
    </row>
    <row r="14" spans="1:10" ht="22.2" thickTop="1" thickBot="1" x14ac:dyDescent="0.35">
      <c r="B14" s="19" t="s">
        <v>79</v>
      </c>
      <c r="C14" s="19" t="s">
        <v>88</v>
      </c>
      <c r="D14" s="19" t="s">
        <v>95</v>
      </c>
      <c r="E14" s="19">
        <v>154</v>
      </c>
    </row>
    <row r="15" spans="1:10" ht="22.2" thickTop="1" thickBot="1" x14ac:dyDescent="0.35">
      <c r="B15" s="19" t="s">
        <v>77</v>
      </c>
      <c r="C15" s="19" t="s">
        <v>89</v>
      </c>
      <c r="D15" s="19" t="s">
        <v>96</v>
      </c>
      <c r="E15" s="19">
        <v>230</v>
      </c>
    </row>
    <row r="16" spans="1:10" ht="22.2" thickTop="1" thickBot="1" x14ac:dyDescent="0.35">
      <c r="B16" s="19" t="s">
        <v>78</v>
      </c>
      <c r="C16" s="19" t="s">
        <v>90</v>
      </c>
      <c r="D16" s="19" t="s">
        <v>93</v>
      </c>
      <c r="E16" s="19">
        <v>450</v>
      </c>
    </row>
    <row r="17" spans="2:5" ht="22.2" thickTop="1" thickBot="1" x14ac:dyDescent="0.35">
      <c r="B17" s="19" t="s">
        <v>80</v>
      </c>
      <c r="C17" s="19" t="s">
        <v>91</v>
      </c>
      <c r="D17" s="19" t="s">
        <v>94</v>
      </c>
      <c r="E17" s="19">
        <v>230</v>
      </c>
    </row>
    <row r="18" spans="2:5" ht="22.2" thickTop="1" thickBot="1" x14ac:dyDescent="0.35">
      <c r="B18" s="19" t="s">
        <v>81</v>
      </c>
      <c r="C18" s="19" t="s">
        <v>92</v>
      </c>
      <c r="D18" s="19" t="s">
        <v>95</v>
      </c>
      <c r="E18" s="19">
        <v>450</v>
      </c>
    </row>
    <row r="19" spans="2:5" ht="15" thickTop="1" x14ac:dyDescent="0.3"/>
  </sheetData>
  <mergeCells count="1">
    <mergeCell ref="B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09F36-B8BB-4BF2-8FB6-19E457ED3877}">
  <sheetPr>
    <tabColor rgb="FFFF0000"/>
  </sheetPr>
  <dimension ref="A1:H19"/>
  <sheetViews>
    <sheetView workbookViewId="0">
      <selection activeCell="G4" sqref="G4"/>
    </sheetView>
  </sheetViews>
  <sheetFormatPr defaultRowHeight="14.4" x14ac:dyDescent="0.3"/>
  <cols>
    <col min="1" max="1" width="8.5546875" customWidth="1"/>
    <col min="2" max="2" width="20.6640625" customWidth="1"/>
    <col min="3" max="3" width="35.77734375" customWidth="1"/>
    <col min="4" max="4" width="20.44140625" customWidth="1"/>
    <col min="5" max="5" width="29.33203125" customWidth="1"/>
    <col min="7" max="7" width="16.88671875" customWidth="1"/>
    <col min="8" max="8" width="14.44140625" customWidth="1"/>
  </cols>
  <sheetData>
    <row r="1" spans="1:8" ht="23.4" x14ac:dyDescent="0.3">
      <c r="A1" s="20">
        <v>4</v>
      </c>
      <c r="B1" s="48" t="s">
        <v>102</v>
      </c>
      <c r="C1" s="47"/>
      <c r="D1" s="47"/>
      <c r="E1" s="47"/>
    </row>
    <row r="2" spans="1:8" ht="15" thickBot="1" x14ac:dyDescent="0.35"/>
    <row r="3" spans="1:8" ht="24.6" thickTop="1" thickBot="1" x14ac:dyDescent="0.35">
      <c r="B3" s="26" t="s">
        <v>66</v>
      </c>
      <c r="C3" s="27" t="s">
        <v>65</v>
      </c>
      <c r="D3" s="27" t="s">
        <v>64</v>
      </c>
      <c r="E3" s="28" t="s">
        <v>63</v>
      </c>
      <c r="G3" s="16" t="s">
        <v>66</v>
      </c>
      <c r="H3" s="16" t="s">
        <v>63</v>
      </c>
    </row>
    <row r="4" spans="1:8" ht="22.2" thickTop="1" thickBot="1" x14ac:dyDescent="0.35">
      <c r="B4" s="22" t="s">
        <v>67</v>
      </c>
      <c r="C4" s="19" t="s">
        <v>9</v>
      </c>
      <c r="D4" s="19" t="s">
        <v>93</v>
      </c>
      <c r="E4" s="25">
        <v>100</v>
      </c>
      <c r="G4" s="18" t="s">
        <v>103</v>
      </c>
      <c r="H4" s="19">
        <f>VLOOKUP(G4,Table1[#All],4,0)</f>
        <v>212</v>
      </c>
    </row>
    <row r="5" spans="1:8" ht="22.2" thickTop="1" thickBot="1" x14ac:dyDescent="0.35">
      <c r="B5" s="23" t="s">
        <v>68</v>
      </c>
      <c r="C5" s="19" t="s">
        <v>14</v>
      </c>
      <c r="D5" s="19" t="s">
        <v>94</v>
      </c>
      <c r="E5" s="25">
        <v>230</v>
      </c>
    </row>
    <row r="6" spans="1:8" ht="22.2" thickTop="1" thickBot="1" x14ac:dyDescent="0.35">
      <c r="B6" s="23" t="s">
        <v>69</v>
      </c>
      <c r="C6" s="19" t="s">
        <v>24</v>
      </c>
      <c r="D6" s="19" t="s">
        <v>95</v>
      </c>
      <c r="E6" s="25">
        <v>120</v>
      </c>
    </row>
    <row r="7" spans="1:8" ht="22.2" thickTop="1" thickBot="1" x14ac:dyDescent="0.35">
      <c r="B7" s="23" t="s">
        <v>70</v>
      </c>
      <c r="C7" s="19" t="s">
        <v>82</v>
      </c>
      <c r="D7" s="19" t="s">
        <v>96</v>
      </c>
      <c r="E7" s="25">
        <v>144</v>
      </c>
    </row>
    <row r="8" spans="1:8" ht="22.2" thickTop="1" thickBot="1" x14ac:dyDescent="0.35">
      <c r="B8" s="23" t="s">
        <v>71</v>
      </c>
      <c r="C8" s="19" t="s">
        <v>83</v>
      </c>
      <c r="D8" s="19" t="s">
        <v>93</v>
      </c>
      <c r="E8" s="25">
        <v>50</v>
      </c>
    </row>
    <row r="9" spans="1:8" ht="22.2" thickTop="1" thickBot="1" x14ac:dyDescent="0.35">
      <c r="B9" s="23" t="s">
        <v>72</v>
      </c>
      <c r="C9" s="19" t="s">
        <v>84</v>
      </c>
      <c r="D9" s="19" t="s">
        <v>94</v>
      </c>
      <c r="E9" s="25">
        <v>340</v>
      </c>
    </row>
    <row r="10" spans="1:8" ht="22.2" thickTop="1" thickBot="1" x14ac:dyDescent="0.35">
      <c r="B10" s="23" t="s">
        <v>73</v>
      </c>
      <c r="C10" s="19" t="s">
        <v>85</v>
      </c>
      <c r="D10" s="19" t="s">
        <v>95</v>
      </c>
      <c r="E10" s="25">
        <v>210</v>
      </c>
    </row>
    <row r="11" spans="1:8" ht="22.2" thickTop="1" thickBot="1" x14ac:dyDescent="0.35">
      <c r="B11" s="23" t="s">
        <v>74</v>
      </c>
      <c r="C11" s="19" t="s">
        <v>86</v>
      </c>
      <c r="D11" s="19" t="s">
        <v>96</v>
      </c>
      <c r="E11" s="25">
        <v>170</v>
      </c>
    </row>
    <row r="12" spans="1:8" ht="22.2" thickTop="1" thickBot="1" x14ac:dyDescent="0.35">
      <c r="B12" s="23" t="s">
        <v>75</v>
      </c>
      <c r="C12" s="19" t="s">
        <v>12</v>
      </c>
      <c r="D12" s="19" t="s">
        <v>93</v>
      </c>
      <c r="E12" s="25">
        <v>55</v>
      </c>
    </row>
    <row r="13" spans="1:8" ht="22.2" thickTop="1" thickBot="1" x14ac:dyDescent="0.35">
      <c r="B13" s="23" t="s">
        <v>76</v>
      </c>
      <c r="C13" s="19" t="s">
        <v>87</v>
      </c>
      <c r="D13" s="19" t="s">
        <v>94</v>
      </c>
      <c r="E13" s="25">
        <v>77</v>
      </c>
    </row>
    <row r="14" spans="1:8" ht="22.2" thickTop="1" thickBot="1" x14ac:dyDescent="0.35">
      <c r="B14" s="23" t="s">
        <v>79</v>
      </c>
      <c r="C14" s="19" t="s">
        <v>88</v>
      </c>
      <c r="D14" s="19" t="s">
        <v>95</v>
      </c>
      <c r="E14" s="25">
        <v>154</v>
      </c>
    </row>
    <row r="15" spans="1:8" ht="22.2" thickTop="1" thickBot="1" x14ac:dyDescent="0.35">
      <c r="B15" s="23" t="s">
        <v>77</v>
      </c>
      <c r="C15" s="19" t="s">
        <v>89</v>
      </c>
      <c r="D15" s="19" t="s">
        <v>96</v>
      </c>
      <c r="E15" s="25">
        <v>230</v>
      </c>
    </row>
    <row r="16" spans="1:8" ht="22.2" thickTop="1" thickBot="1" x14ac:dyDescent="0.35">
      <c r="B16" s="23" t="s">
        <v>78</v>
      </c>
      <c r="C16" s="19" t="s">
        <v>90</v>
      </c>
      <c r="D16" s="19" t="s">
        <v>93</v>
      </c>
      <c r="E16" s="25">
        <v>450</v>
      </c>
    </row>
    <row r="17" spans="2:5" ht="22.2" thickTop="1" thickBot="1" x14ac:dyDescent="0.35">
      <c r="B17" s="23" t="s">
        <v>80</v>
      </c>
      <c r="C17" s="19" t="s">
        <v>91</v>
      </c>
      <c r="D17" s="19" t="s">
        <v>94</v>
      </c>
      <c r="E17" s="25">
        <v>230</v>
      </c>
    </row>
    <row r="18" spans="2:5" ht="22.2" thickTop="1" thickBot="1" x14ac:dyDescent="0.35">
      <c r="B18" s="29" t="s">
        <v>81</v>
      </c>
      <c r="C18" s="30" t="s">
        <v>92</v>
      </c>
      <c r="D18" s="30" t="s">
        <v>95</v>
      </c>
      <c r="E18" s="31">
        <v>450</v>
      </c>
    </row>
    <row r="19" spans="2:5" ht="21.6" thickTop="1" x14ac:dyDescent="0.3">
      <c r="B19" s="29" t="s">
        <v>103</v>
      </c>
      <c r="C19" s="30" t="s">
        <v>104</v>
      </c>
      <c r="D19" s="30" t="s">
        <v>96</v>
      </c>
      <c r="E19" s="31">
        <v>212</v>
      </c>
    </row>
  </sheetData>
  <mergeCells count="1">
    <mergeCell ref="B1:E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B9358-48B9-4B71-A7D6-B236E6E7A006}">
  <sheetPr>
    <tabColor rgb="FFFF0000"/>
  </sheetPr>
  <dimension ref="A1:J19"/>
  <sheetViews>
    <sheetView workbookViewId="0">
      <selection activeCell="G11" sqref="G11"/>
    </sheetView>
  </sheetViews>
  <sheetFormatPr defaultRowHeight="14.4" x14ac:dyDescent="0.3"/>
  <cols>
    <col min="1" max="1" width="8.5546875" customWidth="1"/>
    <col min="2" max="2" width="20.6640625" customWidth="1"/>
    <col min="3" max="3" width="35.77734375" customWidth="1"/>
    <col min="4" max="4" width="20.44140625" customWidth="1"/>
    <col min="5" max="5" width="20" customWidth="1"/>
    <col min="7" max="7" width="16.88671875" customWidth="1"/>
    <col min="8" max="8" width="16.77734375" customWidth="1"/>
    <col min="9" max="9" width="13" customWidth="1"/>
    <col min="10" max="10" width="14.44140625" customWidth="1"/>
  </cols>
  <sheetData>
    <row r="1" spans="1:10" ht="23.4" x14ac:dyDescent="0.3">
      <c r="A1" s="20">
        <v>5</v>
      </c>
      <c r="B1" s="48" t="s">
        <v>105</v>
      </c>
      <c r="C1" s="47"/>
      <c r="D1" s="47"/>
      <c r="E1" s="47"/>
    </row>
    <row r="2" spans="1:10" ht="15" thickBot="1" x14ac:dyDescent="0.35"/>
    <row r="3" spans="1:10" ht="24.6" thickTop="1" thickBot="1" x14ac:dyDescent="0.35">
      <c r="B3" s="21" t="s">
        <v>66</v>
      </c>
      <c r="C3" s="16" t="s">
        <v>65</v>
      </c>
      <c r="D3" s="16" t="s">
        <v>64</v>
      </c>
      <c r="E3" s="16" t="s">
        <v>63</v>
      </c>
      <c r="G3" s="16" t="s">
        <v>66</v>
      </c>
      <c r="H3" s="16" t="s">
        <v>65</v>
      </c>
      <c r="I3" s="16" t="s">
        <v>64</v>
      </c>
      <c r="J3" s="16" t="s">
        <v>63</v>
      </c>
    </row>
    <row r="4" spans="1:10" ht="22.2" thickTop="1" thickBot="1" x14ac:dyDescent="0.35">
      <c r="B4" s="18" t="s">
        <v>67</v>
      </c>
      <c r="C4" s="19" t="s">
        <v>9</v>
      </c>
      <c r="D4" s="19" t="s">
        <v>93</v>
      </c>
      <c r="E4" s="19">
        <v>100</v>
      </c>
      <c r="G4" s="18" t="s">
        <v>72</v>
      </c>
      <c r="H4" s="19" t="str">
        <f>VLOOKUP($G4,$B$3:$E$18,COLUMNS($G$2:H2),0)</f>
        <v>Speaker</v>
      </c>
      <c r="I4" s="19" t="str">
        <f>VLOOKUP($G4,$B$3:$E$18,COLUMNS($G$2:I2),0)</f>
        <v>West</v>
      </c>
      <c r="J4" s="19">
        <f>VLOOKUP($G4,$B$3:$E$18,COLUMNS($G$2:J2),0)</f>
        <v>340</v>
      </c>
    </row>
    <row r="5" spans="1:10" ht="22.2" thickTop="1" thickBot="1" x14ac:dyDescent="0.35">
      <c r="B5" s="19" t="s">
        <v>68</v>
      </c>
      <c r="C5" s="19" t="s">
        <v>14</v>
      </c>
      <c r="D5" s="19" t="s">
        <v>94</v>
      </c>
      <c r="E5" s="19">
        <v>230</v>
      </c>
      <c r="G5" s="18" t="s">
        <v>73</v>
      </c>
      <c r="H5" s="19" t="str">
        <f>VLOOKUP($G5,$B$3:$E$18,COLUMNS($G$2:H3),0)</f>
        <v>RGB Light</v>
      </c>
      <c r="I5" s="19" t="str">
        <f>VLOOKUP($G5,$B$3:$E$18,COLUMNS($G$2:I3),0)</f>
        <v>South</v>
      </c>
      <c r="J5" s="19">
        <f>VLOOKUP($G5,$B$3:$E$18,COLUMNS($G$2:J3),0)</f>
        <v>210</v>
      </c>
    </row>
    <row r="6" spans="1:10" ht="22.2" thickTop="1" thickBot="1" x14ac:dyDescent="0.35">
      <c r="B6" s="19" t="s">
        <v>69</v>
      </c>
      <c r="C6" s="19" t="s">
        <v>24</v>
      </c>
      <c r="D6" s="19" t="s">
        <v>95</v>
      </c>
      <c r="E6" s="19">
        <v>120</v>
      </c>
      <c r="G6" s="18" t="s">
        <v>74</v>
      </c>
      <c r="H6" s="19" t="str">
        <f>VLOOKUP($G6,$B$3:$E$18,COLUMNS($G$2:H4),0)</f>
        <v>Monitor</v>
      </c>
      <c r="I6" s="19" t="str">
        <f>VLOOKUP($G6,$B$3:$E$18,COLUMNS($G$2:I4),0)</f>
        <v>North</v>
      </c>
      <c r="J6" s="19">
        <f>VLOOKUP($G6,$B$3:$E$18,COLUMNS($G$2:J4),0)</f>
        <v>170</v>
      </c>
    </row>
    <row r="7" spans="1:10" ht="22.2" thickTop="1" thickBot="1" x14ac:dyDescent="0.35">
      <c r="B7" s="19" t="s">
        <v>70</v>
      </c>
      <c r="C7" s="19" t="s">
        <v>82</v>
      </c>
      <c r="D7" s="19" t="s">
        <v>96</v>
      </c>
      <c r="E7" s="19">
        <v>144</v>
      </c>
      <c r="G7" s="18" t="s">
        <v>75</v>
      </c>
      <c r="H7" s="19" t="str">
        <f>VLOOKUP($G7,$B$3:$E$18,COLUMNS($G$2:H5),0)</f>
        <v>Keyboard</v>
      </c>
      <c r="I7" s="19" t="str">
        <f>VLOOKUP($G7,$B$3:$E$18,COLUMNS($G$2:I5),0)</f>
        <v>East</v>
      </c>
      <c r="J7" s="19">
        <f>VLOOKUP($G7,$B$3:$E$18,COLUMNS($G$2:J5),0)</f>
        <v>55</v>
      </c>
    </row>
    <row r="8" spans="1:10" ht="22.2" thickTop="1" thickBot="1" x14ac:dyDescent="0.35">
      <c r="B8" s="19" t="s">
        <v>71</v>
      </c>
      <c r="C8" s="19" t="s">
        <v>83</v>
      </c>
      <c r="D8" s="19" t="s">
        <v>93</v>
      </c>
      <c r="E8" s="19">
        <v>50</v>
      </c>
    </row>
    <row r="9" spans="1:10" ht="22.2" thickTop="1" thickBot="1" x14ac:dyDescent="0.35">
      <c r="B9" s="19" t="s">
        <v>72</v>
      </c>
      <c r="C9" s="19" t="s">
        <v>84</v>
      </c>
      <c r="D9" s="19" t="s">
        <v>94</v>
      </c>
      <c r="E9" s="19">
        <v>340</v>
      </c>
    </row>
    <row r="10" spans="1:10" ht="22.2" thickTop="1" thickBot="1" x14ac:dyDescent="0.35">
      <c r="B10" s="19" t="s">
        <v>73</v>
      </c>
      <c r="C10" s="19" t="s">
        <v>85</v>
      </c>
      <c r="D10" s="19" t="s">
        <v>95</v>
      </c>
      <c r="E10" s="19">
        <v>210</v>
      </c>
    </row>
    <row r="11" spans="1:10" ht="22.2" thickTop="1" thickBot="1" x14ac:dyDescent="0.35">
      <c r="B11" s="19" t="s">
        <v>74</v>
      </c>
      <c r="C11" s="19" t="s">
        <v>86</v>
      </c>
      <c r="D11" s="19" t="s">
        <v>96</v>
      </c>
      <c r="E11" s="19">
        <v>170</v>
      </c>
    </row>
    <row r="12" spans="1:10" ht="22.2" thickTop="1" thickBot="1" x14ac:dyDescent="0.35">
      <c r="B12" s="19" t="s">
        <v>75</v>
      </c>
      <c r="C12" s="19" t="s">
        <v>12</v>
      </c>
      <c r="D12" s="19" t="s">
        <v>93</v>
      </c>
      <c r="E12" s="19">
        <v>55</v>
      </c>
    </row>
    <row r="13" spans="1:10" ht="22.2" thickTop="1" thickBot="1" x14ac:dyDescent="0.35">
      <c r="B13" s="19" t="s">
        <v>76</v>
      </c>
      <c r="C13" s="19" t="s">
        <v>87</v>
      </c>
      <c r="D13" s="19" t="s">
        <v>94</v>
      </c>
      <c r="E13" s="19">
        <v>77</v>
      </c>
    </row>
    <row r="14" spans="1:10" ht="22.2" thickTop="1" thickBot="1" x14ac:dyDescent="0.35">
      <c r="B14" s="19" t="s">
        <v>79</v>
      </c>
      <c r="C14" s="19" t="s">
        <v>88</v>
      </c>
      <c r="D14" s="19" t="s">
        <v>95</v>
      </c>
      <c r="E14" s="19">
        <v>154</v>
      </c>
    </row>
    <row r="15" spans="1:10" ht="22.2" thickTop="1" thickBot="1" x14ac:dyDescent="0.35">
      <c r="B15" s="19" t="s">
        <v>77</v>
      </c>
      <c r="C15" s="19" t="s">
        <v>89</v>
      </c>
      <c r="D15" s="19" t="s">
        <v>96</v>
      </c>
      <c r="E15" s="19">
        <v>230</v>
      </c>
    </row>
    <row r="16" spans="1:10" ht="22.2" thickTop="1" thickBot="1" x14ac:dyDescent="0.35">
      <c r="B16" s="19" t="s">
        <v>78</v>
      </c>
      <c r="C16" s="19" t="s">
        <v>90</v>
      </c>
      <c r="D16" s="19" t="s">
        <v>93</v>
      </c>
      <c r="E16" s="19">
        <v>450</v>
      </c>
    </row>
    <row r="17" spans="2:5" ht="22.2" thickTop="1" thickBot="1" x14ac:dyDescent="0.35">
      <c r="B17" s="19" t="s">
        <v>80</v>
      </c>
      <c r="C17" s="19" t="s">
        <v>91</v>
      </c>
      <c r="D17" s="19" t="s">
        <v>94</v>
      </c>
      <c r="E17" s="19">
        <v>230</v>
      </c>
    </row>
    <row r="18" spans="2:5" ht="22.2" thickTop="1" thickBot="1" x14ac:dyDescent="0.35">
      <c r="B18" s="19" t="s">
        <v>81</v>
      </c>
      <c r="C18" s="19" t="s">
        <v>92</v>
      </c>
      <c r="D18" s="19" t="s">
        <v>95</v>
      </c>
      <c r="E18" s="19">
        <v>450</v>
      </c>
    </row>
    <row r="19" spans="2:5" ht="15" thickTop="1" x14ac:dyDescent="0.3"/>
  </sheetData>
  <mergeCells count="1">
    <mergeCell ref="B1:E1"/>
  </mergeCells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36EC8-9398-4285-B3E0-84A5F25077A7}">
  <sheetPr>
    <tabColor rgb="FFFF0000"/>
  </sheetPr>
  <dimension ref="A1:I19"/>
  <sheetViews>
    <sheetView workbookViewId="0">
      <selection activeCell="H8" sqref="H8"/>
    </sheetView>
  </sheetViews>
  <sheetFormatPr defaultRowHeight="14.4" x14ac:dyDescent="0.3"/>
  <cols>
    <col min="1" max="1" width="23" customWidth="1"/>
    <col min="2" max="2" width="20.6640625" customWidth="1"/>
    <col min="3" max="3" width="35.77734375" customWidth="1"/>
    <col min="4" max="4" width="20.44140625" customWidth="1"/>
    <col min="5" max="5" width="20" customWidth="1"/>
    <col min="7" max="7" width="16.88671875" customWidth="1"/>
    <col min="8" max="8" width="16.77734375" customWidth="1"/>
    <col min="9" max="9" width="14.44140625" customWidth="1"/>
  </cols>
  <sheetData>
    <row r="1" spans="1:9" ht="23.4" x14ac:dyDescent="0.3">
      <c r="A1" s="20">
        <v>6</v>
      </c>
      <c r="B1" s="48" t="s">
        <v>106</v>
      </c>
      <c r="C1" s="47"/>
      <c r="D1" s="47"/>
      <c r="E1" s="47"/>
    </row>
    <row r="2" spans="1:9" ht="15" thickBot="1" x14ac:dyDescent="0.35"/>
    <row r="3" spans="1:9" ht="24.6" thickTop="1" thickBot="1" x14ac:dyDescent="0.35">
      <c r="A3" s="34" t="s">
        <v>51</v>
      </c>
      <c r="B3" s="21" t="s">
        <v>66</v>
      </c>
      <c r="C3" s="16" t="s">
        <v>65</v>
      </c>
      <c r="D3" s="16" t="s">
        <v>64</v>
      </c>
      <c r="E3" s="16" t="s">
        <v>63</v>
      </c>
      <c r="G3" s="32" t="s">
        <v>66</v>
      </c>
      <c r="H3" s="32" t="s">
        <v>65</v>
      </c>
      <c r="I3" s="16" t="s">
        <v>63</v>
      </c>
    </row>
    <row r="4" spans="1:9" ht="22.2" thickTop="1" thickBot="1" x14ac:dyDescent="0.35">
      <c r="A4" s="33" t="str">
        <f>B4&amp;C4</f>
        <v>P01Mouse</v>
      </c>
      <c r="B4" s="18" t="s">
        <v>67</v>
      </c>
      <c r="C4" s="19" t="s">
        <v>9</v>
      </c>
      <c r="D4" s="19" t="s">
        <v>93</v>
      </c>
      <c r="E4" s="19">
        <v>100</v>
      </c>
      <c r="G4" s="18" t="s">
        <v>68</v>
      </c>
      <c r="H4" s="18" t="s">
        <v>14</v>
      </c>
      <c r="I4" s="19">
        <f>VLOOKUP(G4&amp;H4,A3:E18,5,0)</f>
        <v>230</v>
      </c>
    </row>
    <row r="5" spans="1:9" ht="22.2" thickTop="1" thickBot="1" x14ac:dyDescent="0.35">
      <c r="A5" s="33" t="str">
        <f t="shared" ref="A5:A18" si="0">B5&amp;C5</f>
        <v>P02Moniter</v>
      </c>
      <c r="B5" s="19" t="s">
        <v>68</v>
      </c>
      <c r="C5" s="19" t="s">
        <v>14</v>
      </c>
      <c r="D5" s="19" t="s">
        <v>94</v>
      </c>
      <c r="E5" s="19">
        <v>230</v>
      </c>
    </row>
    <row r="6" spans="1:9" ht="22.2" thickTop="1" thickBot="1" x14ac:dyDescent="0.35">
      <c r="A6" s="33" t="str">
        <f t="shared" si="0"/>
        <v>P03Printer</v>
      </c>
      <c r="B6" s="19" t="s">
        <v>69</v>
      </c>
      <c r="C6" s="19" t="s">
        <v>24</v>
      </c>
      <c r="D6" s="19" t="s">
        <v>95</v>
      </c>
      <c r="E6" s="19">
        <v>120</v>
      </c>
    </row>
    <row r="7" spans="1:9" ht="22.2" thickTop="1" thickBot="1" x14ac:dyDescent="0.35">
      <c r="A7" s="33" t="str">
        <f t="shared" si="0"/>
        <v>P04Processor i3</v>
      </c>
      <c r="B7" s="19" t="s">
        <v>70</v>
      </c>
      <c r="C7" s="19" t="s">
        <v>82</v>
      </c>
      <c r="D7" s="19" t="s">
        <v>96</v>
      </c>
      <c r="E7" s="19">
        <v>144</v>
      </c>
    </row>
    <row r="8" spans="1:9" ht="22.2" thickTop="1" thickBot="1" x14ac:dyDescent="0.35">
      <c r="A8" s="33" t="str">
        <f t="shared" si="0"/>
        <v>P05Processor i4</v>
      </c>
      <c r="B8" s="19" t="s">
        <v>71</v>
      </c>
      <c r="C8" s="19" t="s">
        <v>83</v>
      </c>
      <c r="D8" s="19" t="s">
        <v>93</v>
      </c>
      <c r="E8" s="19">
        <v>50</v>
      </c>
    </row>
    <row r="9" spans="1:9" ht="22.2" thickTop="1" thickBot="1" x14ac:dyDescent="0.35">
      <c r="A9" s="33" t="str">
        <f t="shared" si="0"/>
        <v>P06Speaker</v>
      </c>
      <c r="B9" s="19" t="s">
        <v>72</v>
      </c>
      <c r="C9" s="19" t="s">
        <v>84</v>
      </c>
      <c r="D9" s="19" t="s">
        <v>94</v>
      </c>
      <c r="E9" s="19">
        <v>340</v>
      </c>
    </row>
    <row r="10" spans="1:9" ht="22.2" thickTop="1" thickBot="1" x14ac:dyDescent="0.35">
      <c r="A10" s="33" t="str">
        <f t="shared" si="0"/>
        <v>P07RGB Light</v>
      </c>
      <c r="B10" s="19" t="s">
        <v>73</v>
      </c>
      <c r="C10" s="19" t="s">
        <v>85</v>
      </c>
      <c r="D10" s="19" t="s">
        <v>95</v>
      </c>
      <c r="E10" s="19">
        <v>210</v>
      </c>
    </row>
    <row r="11" spans="1:9" ht="22.2" thickTop="1" thickBot="1" x14ac:dyDescent="0.35">
      <c r="A11" s="33" t="str">
        <f t="shared" si="0"/>
        <v>P08Monitor</v>
      </c>
      <c r="B11" s="19" t="s">
        <v>74</v>
      </c>
      <c r="C11" s="19" t="s">
        <v>86</v>
      </c>
      <c r="D11" s="19" t="s">
        <v>96</v>
      </c>
      <c r="E11" s="19">
        <v>170</v>
      </c>
    </row>
    <row r="12" spans="1:9" ht="22.2" thickTop="1" thickBot="1" x14ac:dyDescent="0.35">
      <c r="A12" s="33" t="str">
        <f t="shared" si="0"/>
        <v>P09Keyboard</v>
      </c>
      <c r="B12" s="19" t="s">
        <v>75</v>
      </c>
      <c r="C12" s="19" t="s">
        <v>12</v>
      </c>
      <c r="D12" s="19" t="s">
        <v>93</v>
      </c>
      <c r="E12" s="19">
        <v>55</v>
      </c>
    </row>
    <row r="13" spans="1:9" ht="22.2" thickTop="1" thickBot="1" x14ac:dyDescent="0.35">
      <c r="A13" s="33" t="str">
        <f t="shared" si="0"/>
        <v>P10Mouse 3.0</v>
      </c>
      <c r="B13" s="19" t="s">
        <v>76</v>
      </c>
      <c r="C13" s="19" t="s">
        <v>87</v>
      </c>
      <c r="D13" s="19" t="s">
        <v>94</v>
      </c>
      <c r="E13" s="19">
        <v>77</v>
      </c>
    </row>
    <row r="14" spans="1:9" ht="22.2" thickTop="1" thickBot="1" x14ac:dyDescent="0.35">
      <c r="A14" s="33" t="str">
        <f t="shared" si="0"/>
        <v>P11Wireless Mouse</v>
      </c>
      <c r="B14" s="19" t="s">
        <v>79</v>
      </c>
      <c r="C14" s="19" t="s">
        <v>88</v>
      </c>
      <c r="D14" s="19" t="s">
        <v>95</v>
      </c>
      <c r="E14" s="19">
        <v>154</v>
      </c>
    </row>
    <row r="15" spans="1:9" ht="22.2" thickTop="1" thickBot="1" x14ac:dyDescent="0.35">
      <c r="A15" s="33" t="str">
        <f t="shared" si="0"/>
        <v>P12HDD 256 GB</v>
      </c>
      <c r="B15" s="19" t="s">
        <v>77</v>
      </c>
      <c r="C15" s="19" t="s">
        <v>89</v>
      </c>
      <c r="D15" s="19" t="s">
        <v>96</v>
      </c>
      <c r="E15" s="19">
        <v>230</v>
      </c>
    </row>
    <row r="16" spans="1:9" ht="22.2" thickTop="1" thickBot="1" x14ac:dyDescent="0.35">
      <c r="A16" s="33" t="str">
        <f t="shared" si="0"/>
        <v>P13RAM</v>
      </c>
      <c r="B16" s="19" t="s">
        <v>78</v>
      </c>
      <c r="C16" s="19" t="s">
        <v>90</v>
      </c>
      <c r="D16" s="19" t="s">
        <v>93</v>
      </c>
      <c r="E16" s="19">
        <v>450</v>
      </c>
    </row>
    <row r="17" spans="1:5" ht="22.2" thickTop="1" thickBot="1" x14ac:dyDescent="0.35">
      <c r="A17" s="33" t="str">
        <f t="shared" si="0"/>
        <v>P14ROM</v>
      </c>
      <c r="B17" s="19" t="s">
        <v>80</v>
      </c>
      <c r="C17" s="19" t="s">
        <v>91</v>
      </c>
      <c r="D17" s="19" t="s">
        <v>94</v>
      </c>
      <c r="E17" s="19">
        <v>230</v>
      </c>
    </row>
    <row r="18" spans="1:5" ht="22.2" thickTop="1" thickBot="1" x14ac:dyDescent="0.35">
      <c r="A18" s="33" t="str">
        <f t="shared" si="0"/>
        <v>P15Juicer</v>
      </c>
      <c r="B18" s="19" t="s">
        <v>81</v>
      </c>
      <c r="C18" s="19" t="s">
        <v>92</v>
      </c>
      <c r="D18" s="19" t="s">
        <v>95</v>
      </c>
      <c r="E18" s="19">
        <v>450</v>
      </c>
    </row>
    <row r="19" spans="1:5" ht="15" thickTop="1" x14ac:dyDescent="0.3"/>
  </sheetData>
  <mergeCells count="1">
    <mergeCell ref="B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B41FB-ACC7-4DE4-B640-A045A90F5C9B}">
  <sheetPr>
    <tabColor rgb="FFFF0000"/>
  </sheetPr>
  <dimension ref="A1:H19"/>
  <sheetViews>
    <sheetView workbookViewId="0">
      <selection activeCell="J11" sqref="J11"/>
    </sheetView>
  </sheetViews>
  <sheetFormatPr defaultRowHeight="14.4" x14ac:dyDescent="0.3"/>
  <cols>
    <col min="1" max="1" width="8.21875" customWidth="1"/>
    <col min="2" max="2" width="20.6640625" customWidth="1"/>
    <col min="3" max="3" width="35.77734375" customWidth="1"/>
    <col min="4" max="4" width="20.44140625" customWidth="1"/>
    <col min="5" max="5" width="20" customWidth="1"/>
    <col min="7" max="7" width="16.88671875" customWidth="1"/>
    <col min="8" max="8" width="16.77734375" customWidth="1"/>
  </cols>
  <sheetData>
    <row r="1" spans="1:8" ht="23.4" x14ac:dyDescent="0.3">
      <c r="A1" s="20">
        <v>7</v>
      </c>
      <c r="B1" s="48" t="s">
        <v>107</v>
      </c>
      <c r="C1" s="47"/>
      <c r="D1" s="47"/>
      <c r="E1" s="47"/>
    </row>
    <row r="2" spans="1:8" ht="15" thickBot="1" x14ac:dyDescent="0.35"/>
    <row r="3" spans="1:8" ht="24.6" thickTop="1" thickBot="1" x14ac:dyDescent="0.35">
      <c r="A3" s="34"/>
      <c r="B3" s="21" t="s">
        <v>66</v>
      </c>
      <c r="C3" s="16" t="s">
        <v>65</v>
      </c>
      <c r="D3" s="16" t="s">
        <v>64</v>
      </c>
      <c r="E3" s="16" t="s">
        <v>63</v>
      </c>
      <c r="G3" s="16" t="s">
        <v>66</v>
      </c>
      <c r="H3" s="32" t="s">
        <v>63</v>
      </c>
    </row>
    <row r="4" spans="1:8" ht="22.2" thickTop="1" thickBot="1" x14ac:dyDescent="0.35">
      <c r="A4" s="33"/>
      <c r="B4" s="18" t="s">
        <v>67</v>
      </c>
      <c r="C4" s="19" t="s">
        <v>9</v>
      </c>
      <c r="D4" s="19" t="s">
        <v>93</v>
      </c>
      <c r="E4" s="19">
        <v>100</v>
      </c>
      <c r="G4" s="18" t="s">
        <v>74</v>
      </c>
      <c r="H4" s="18">
        <f>VLOOKUP(G4,B3:E18,MATCH(H3,B3:E3,0),0)</f>
        <v>170</v>
      </c>
    </row>
    <row r="5" spans="1:8" ht="22.2" thickTop="1" thickBot="1" x14ac:dyDescent="0.35">
      <c r="A5" s="33"/>
      <c r="B5" s="19" t="s">
        <v>68</v>
      </c>
      <c r="C5" s="19" t="s">
        <v>14</v>
      </c>
      <c r="D5" s="19" t="s">
        <v>94</v>
      </c>
      <c r="E5" s="19">
        <v>230</v>
      </c>
    </row>
    <row r="6" spans="1:8" ht="22.2" thickTop="1" thickBot="1" x14ac:dyDescent="0.35">
      <c r="A6" s="33"/>
      <c r="B6" s="19" t="s">
        <v>69</v>
      </c>
      <c r="C6" s="19" t="s">
        <v>24</v>
      </c>
      <c r="D6" s="19" t="s">
        <v>95</v>
      </c>
      <c r="E6" s="19">
        <v>120</v>
      </c>
      <c r="G6" s="35">
        <f>MATCH(H3,B3:E3,0)</f>
        <v>4</v>
      </c>
    </row>
    <row r="7" spans="1:8" ht="22.2" thickTop="1" thickBot="1" x14ac:dyDescent="0.35">
      <c r="A7" s="33"/>
      <c r="B7" s="19" t="s">
        <v>70</v>
      </c>
      <c r="C7" s="19" t="s">
        <v>82</v>
      </c>
      <c r="D7" s="19" t="s">
        <v>96</v>
      </c>
      <c r="E7" s="19">
        <v>144</v>
      </c>
    </row>
    <row r="8" spans="1:8" ht="22.2" thickTop="1" thickBot="1" x14ac:dyDescent="0.35">
      <c r="A8" s="33"/>
      <c r="B8" s="19" t="s">
        <v>71</v>
      </c>
      <c r="C8" s="19" t="s">
        <v>83</v>
      </c>
      <c r="D8" s="19" t="s">
        <v>93</v>
      </c>
      <c r="E8" s="19">
        <v>50</v>
      </c>
    </row>
    <row r="9" spans="1:8" ht="22.2" thickTop="1" thickBot="1" x14ac:dyDescent="0.35">
      <c r="A9" s="33"/>
      <c r="B9" s="19" t="s">
        <v>72</v>
      </c>
      <c r="C9" s="19" t="s">
        <v>84</v>
      </c>
      <c r="D9" s="19" t="s">
        <v>94</v>
      </c>
      <c r="E9" s="19">
        <v>340</v>
      </c>
    </row>
    <row r="10" spans="1:8" ht="22.2" thickTop="1" thickBot="1" x14ac:dyDescent="0.35">
      <c r="A10" s="33"/>
      <c r="B10" s="19" t="s">
        <v>73</v>
      </c>
      <c r="C10" s="19" t="s">
        <v>85</v>
      </c>
      <c r="D10" s="19" t="s">
        <v>95</v>
      </c>
      <c r="E10" s="19">
        <v>210</v>
      </c>
    </row>
    <row r="11" spans="1:8" ht="22.2" thickTop="1" thickBot="1" x14ac:dyDescent="0.35">
      <c r="A11" s="33"/>
      <c r="B11" s="19" t="s">
        <v>74</v>
      </c>
      <c r="C11" s="19" t="s">
        <v>86</v>
      </c>
      <c r="D11" s="19" t="s">
        <v>96</v>
      </c>
      <c r="E11" s="19">
        <v>170</v>
      </c>
    </row>
    <row r="12" spans="1:8" ht="22.2" thickTop="1" thickBot="1" x14ac:dyDescent="0.35">
      <c r="A12" s="33"/>
      <c r="B12" s="19" t="s">
        <v>75</v>
      </c>
      <c r="C12" s="19" t="s">
        <v>12</v>
      </c>
      <c r="D12" s="19" t="s">
        <v>93</v>
      </c>
      <c r="E12" s="19">
        <v>55</v>
      </c>
    </row>
    <row r="13" spans="1:8" ht="22.2" thickTop="1" thickBot="1" x14ac:dyDescent="0.35">
      <c r="A13" s="33"/>
      <c r="B13" s="19" t="s">
        <v>76</v>
      </c>
      <c r="C13" s="19" t="s">
        <v>87</v>
      </c>
      <c r="D13" s="19" t="s">
        <v>94</v>
      </c>
      <c r="E13" s="19">
        <v>77</v>
      </c>
    </row>
    <row r="14" spans="1:8" ht="22.2" thickTop="1" thickBot="1" x14ac:dyDescent="0.35">
      <c r="A14" s="33"/>
      <c r="B14" s="19" t="s">
        <v>79</v>
      </c>
      <c r="C14" s="19" t="s">
        <v>88</v>
      </c>
      <c r="D14" s="19" t="s">
        <v>95</v>
      </c>
      <c r="E14" s="19">
        <v>154</v>
      </c>
    </row>
    <row r="15" spans="1:8" ht="22.2" thickTop="1" thickBot="1" x14ac:dyDescent="0.35">
      <c r="A15" s="33"/>
      <c r="B15" s="19" t="s">
        <v>77</v>
      </c>
      <c r="C15" s="19" t="s">
        <v>89</v>
      </c>
      <c r="D15" s="19" t="s">
        <v>96</v>
      </c>
      <c r="E15" s="19">
        <v>230</v>
      </c>
    </row>
    <row r="16" spans="1:8" ht="22.2" thickTop="1" thickBot="1" x14ac:dyDescent="0.35">
      <c r="A16" s="33"/>
      <c r="B16" s="19" t="s">
        <v>78</v>
      </c>
      <c r="C16" s="19" t="s">
        <v>90</v>
      </c>
      <c r="D16" s="19" t="s">
        <v>93</v>
      </c>
      <c r="E16" s="19">
        <v>450</v>
      </c>
    </row>
    <row r="17" spans="1:5" ht="22.2" thickTop="1" thickBot="1" x14ac:dyDescent="0.35">
      <c r="A17" s="33"/>
      <c r="B17" s="19" t="s">
        <v>80</v>
      </c>
      <c r="C17" s="19" t="s">
        <v>91</v>
      </c>
      <c r="D17" s="19" t="s">
        <v>94</v>
      </c>
      <c r="E17" s="19">
        <v>230</v>
      </c>
    </row>
    <row r="18" spans="1:5" ht="22.2" thickTop="1" thickBot="1" x14ac:dyDescent="0.35">
      <c r="A18" s="33"/>
      <c r="B18" s="19" t="s">
        <v>81</v>
      </c>
      <c r="C18" s="19" t="s">
        <v>92</v>
      </c>
      <c r="D18" s="19" t="s">
        <v>95</v>
      </c>
      <c r="E18" s="19">
        <v>450</v>
      </c>
    </row>
    <row r="19" spans="1:5" ht="15" thickTop="1" x14ac:dyDescent="0.3"/>
  </sheetData>
  <mergeCells count="1">
    <mergeCell ref="B1: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4B583-F997-4DB4-A2A9-AE543BE78466}">
  <sheetPr>
    <tabColor rgb="FFFF0000"/>
  </sheetPr>
  <dimension ref="A1:I22"/>
  <sheetViews>
    <sheetView workbookViewId="0"/>
  </sheetViews>
  <sheetFormatPr defaultRowHeight="14.4" x14ac:dyDescent="0.3"/>
  <cols>
    <col min="1" max="1" width="8.21875" customWidth="1"/>
    <col min="2" max="2" width="20.6640625" customWidth="1"/>
    <col min="3" max="3" width="35.77734375" customWidth="1"/>
    <col min="4" max="4" width="20.44140625" customWidth="1"/>
    <col min="5" max="5" width="20" customWidth="1"/>
    <col min="7" max="7" width="16.88671875" customWidth="1"/>
    <col min="8" max="8" width="16.77734375" customWidth="1"/>
  </cols>
  <sheetData>
    <row r="1" spans="1:9" ht="23.4" x14ac:dyDescent="0.3">
      <c r="A1" s="20">
        <v>8</v>
      </c>
      <c r="B1" s="48" t="s">
        <v>108</v>
      </c>
      <c r="C1" s="47"/>
      <c r="D1" s="47"/>
      <c r="E1" s="47"/>
    </row>
    <row r="2" spans="1:9" ht="15" thickBot="1" x14ac:dyDescent="0.35"/>
    <row r="3" spans="1:9" ht="24.6" thickTop="1" thickBot="1" x14ac:dyDescent="0.35">
      <c r="A3" s="34"/>
      <c r="B3" s="21" t="s">
        <v>66</v>
      </c>
      <c r="C3" s="16" t="s">
        <v>65</v>
      </c>
      <c r="D3" s="16" t="s">
        <v>109</v>
      </c>
      <c r="E3" s="16" t="s">
        <v>63</v>
      </c>
      <c r="G3" s="16" t="s">
        <v>109</v>
      </c>
      <c r="H3" s="32" t="s">
        <v>63</v>
      </c>
    </row>
    <row r="4" spans="1:9" ht="22.2" thickTop="1" thickBot="1" x14ac:dyDescent="0.35">
      <c r="A4" s="33"/>
      <c r="B4" s="18" t="s">
        <v>67</v>
      </c>
      <c r="C4" s="19" t="s">
        <v>9</v>
      </c>
      <c r="D4" s="19" t="s">
        <v>110</v>
      </c>
      <c r="E4" s="19">
        <v>100</v>
      </c>
      <c r="G4" s="18" t="s">
        <v>117</v>
      </c>
      <c r="H4" s="18" t="str">
        <f>VLOOKUP(G4,CHOOSE({1,2},D3:D15,C3:C15),2,0)</f>
        <v>Monitor</v>
      </c>
    </row>
    <row r="5" spans="1:9" ht="22.2" thickTop="1" thickBot="1" x14ac:dyDescent="0.35">
      <c r="A5" s="33"/>
      <c r="B5" s="19" t="s">
        <v>68</v>
      </c>
      <c r="C5" s="19" t="s">
        <v>14</v>
      </c>
      <c r="D5" s="19" t="s">
        <v>111</v>
      </c>
      <c r="E5" s="19">
        <v>230</v>
      </c>
    </row>
    <row r="6" spans="1:9" ht="22.2" thickTop="1" thickBot="1" x14ac:dyDescent="0.35">
      <c r="A6" s="33"/>
      <c r="B6" s="19" t="s">
        <v>69</v>
      </c>
      <c r="C6" s="19" t="s">
        <v>24</v>
      </c>
      <c r="D6" s="19" t="s">
        <v>112</v>
      </c>
      <c r="E6" s="19">
        <v>120</v>
      </c>
    </row>
    <row r="7" spans="1:9" ht="22.2" thickTop="1" thickBot="1" x14ac:dyDescent="0.35">
      <c r="A7" s="33"/>
      <c r="B7" s="19" t="s">
        <v>70</v>
      </c>
      <c r="C7" s="19" t="s">
        <v>82</v>
      </c>
      <c r="D7" s="19" t="s">
        <v>113</v>
      </c>
      <c r="E7" s="19">
        <v>144</v>
      </c>
    </row>
    <row r="8" spans="1:9" ht="22.2" thickTop="1" thickBot="1" x14ac:dyDescent="0.35">
      <c r="A8" s="33"/>
      <c r="B8" s="19" t="s">
        <v>71</v>
      </c>
      <c r="C8" s="19" t="s">
        <v>83</v>
      </c>
      <c r="D8" s="19" t="s">
        <v>114</v>
      </c>
      <c r="E8" s="19">
        <v>50</v>
      </c>
    </row>
    <row r="9" spans="1:9" ht="22.2" thickTop="1" thickBot="1" x14ac:dyDescent="0.35">
      <c r="A9" s="33"/>
      <c r="B9" s="19" t="s">
        <v>72</v>
      </c>
      <c r="C9" s="19" t="s">
        <v>84</v>
      </c>
      <c r="D9" s="19" t="s">
        <v>115</v>
      </c>
      <c r="E9" s="19">
        <v>340</v>
      </c>
    </row>
    <row r="10" spans="1:9" ht="22.2" thickTop="1" thickBot="1" x14ac:dyDescent="0.35">
      <c r="A10" s="33"/>
      <c r="B10" s="19" t="s">
        <v>73</v>
      </c>
      <c r="C10" s="19" t="s">
        <v>85</v>
      </c>
      <c r="D10" s="19" t="s">
        <v>116</v>
      </c>
      <c r="E10" s="19">
        <v>210</v>
      </c>
      <c r="G10" s="36" t="str" cm="1">
        <f t="array" ref="G10:I22">CHOOSE({1,2,3},D3:D15,C3:C15,E3:E14)</f>
        <v>HSN Code</v>
      </c>
      <c r="H10" t="str">
        <v>Product</v>
      </c>
      <c r="I10" t="str">
        <v>Qty Sold</v>
      </c>
    </row>
    <row r="11" spans="1:9" ht="22.2" thickTop="1" thickBot="1" x14ac:dyDescent="0.35">
      <c r="A11" s="33"/>
      <c r="B11" s="19" t="s">
        <v>74</v>
      </c>
      <c r="C11" s="19" t="s">
        <v>86</v>
      </c>
      <c r="D11" s="19" t="s">
        <v>117</v>
      </c>
      <c r="E11" s="19">
        <v>170</v>
      </c>
      <c r="G11" t="str">
        <v>EP0101</v>
      </c>
      <c r="H11" t="str">
        <v>Mouse</v>
      </c>
      <c r="I11">
        <v>100</v>
      </c>
    </row>
    <row r="12" spans="1:9" ht="22.2" thickTop="1" thickBot="1" x14ac:dyDescent="0.35">
      <c r="A12" s="33"/>
      <c r="B12" s="19" t="s">
        <v>75</v>
      </c>
      <c r="C12" s="19" t="s">
        <v>12</v>
      </c>
      <c r="D12" s="19" t="s">
        <v>118</v>
      </c>
      <c r="E12" s="19">
        <v>55</v>
      </c>
      <c r="G12" t="str">
        <v>EP0102</v>
      </c>
      <c r="H12" t="str">
        <v>Moniter</v>
      </c>
      <c r="I12">
        <v>230</v>
      </c>
    </row>
    <row r="13" spans="1:9" ht="22.2" thickTop="1" thickBot="1" x14ac:dyDescent="0.35">
      <c r="A13" s="33"/>
      <c r="B13" s="19" t="s">
        <v>76</v>
      </c>
      <c r="C13" s="19" t="s">
        <v>87</v>
      </c>
      <c r="D13" s="19" t="s">
        <v>119</v>
      </c>
      <c r="E13" s="19">
        <v>77</v>
      </c>
      <c r="G13" t="str">
        <v>EP0103</v>
      </c>
      <c r="H13" t="str">
        <v>Printer</v>
      </c>
      <c r="I13">
        <v>120</v>
      </c>
    </row>
    <row r="14" spans="1:9" ht="22.2" thickTop="1" thickBot="1" x14ac:dyDescent="0.35">
      <c r="A14" s="33"/>
      <c r="B14" s="19" t="s">
        <v>79</v>
      </c>
      <c r="C14" s="19" t="s">
        <v>88</v>
      </c>
      <c r="D14" s="19" t="s">
        <v>120</v>
      </c>
      <c r="E14" s="19">
        <v>154</v>
      </c>
      <c r="G14" t="str">
        <v>EP0104</v>
      </c>
      <c r="H14" t="str">
        <v>Processor i3</v>
      </c>
      <c r="I14">
        <v>144</v>
      </c>
    </row>
    <row r="15" spans="1:9" ht="22.2" thickTop="1" thickBot="1" x14ac:dyDescent="0.35">
      <c r="A15" s="33"/>
      <c r="B15" s="19" t="s">
        <v>77</v>
      </c>
      <c r="C15" s="19" t="s">
        <v>89</v>
      </c>
      <c r="D15" s="19" t="s">
        <v>121</v>
      </c>
      <c r="E15" s="19">
        <v>230</v>
      </c>
      <c r="G15" t="str">
        <v>EP0105</v>
      </c>
      <c r="H15" t="str">
        <v>Processor i4</v>
      </c>
      <c r="I15">
        <v>50</v>
      </c>
    </row>
    <row r="16" spans="1:9" ht="21.6" thickTop="1" x14ac:dyDescent="0.3">
      <c r="A16" s="33"/>
      <c r="G16" t="str">
        <v>EP0106</v>
      </c>
      <c r="H16" t="str">
        <v>Speaker</v>
      </c>
      <c r="I16">
        <v>340</v>
      </c>
    </row>
    <row r="17" spans="1:9" ht="21" x14ac:dyDescent="0.3">
      <c r="A17" s="33"/>
      <c r="G17" t="str">
        <v>EP0107</v>
      </c>
      <c r="H17" t="str">
        <v>RGB Light</v>
      </c>
      <c r="I17">
        <v>210</v>
      </c>
    </row>
    <row r="18" spans="1:9" ht="21" x14ac:dyDescent="0.3">
      <c r="A18" s="33"/>
      <c r="G18" t="str">
        <v>EP0108</v>
      </c>
      <c r="H18" t="str">
        <v>Monitor</v>
      </c>
      <c r="I18">
        <v>170</v>
      </c>
    </row>
    <row r="19" spans="1:9" x14ac:dyDescent="0.3">
      <c r="G19" t="str">
        <v>EP0109</v>
      </c>
      <c r="H19" t="str">
        <v>Keyboard</v>
      </c>
      <c r="I19">
        <v>55</v>
      </c>
    </row>
    <row r="20" spans="1:9" x14ac:dyDescent="0.3">
      <c r="G20" t="str">
        <v>EP0110</v>
      </c>
      <c r="H20" t="str">
        <v>Mouse 3.0</v>
      </c>
      <c r="I20">
        <v>77</v>
      </c>
    </row>
    <row r="21" spans="1:9" x14ac:dyDescent="0.3">
      <c r="G21" t="str">
        <v>EP0111</v>
      </c>
      <c r="H21" t="str">
        <v>Wireless Mouse</v>
      </c>
      <c r="I21">
        <v>154</v>
      </c>
    </row>
    <row r="22" spans="1:9" x14ac:dyDescent="0.3">
      <c r="G22" t="str">
        <v>EP0112</v>
      </c>
      <c r="H22" t="str">
        <v>HDD 256 GB</v>
      </c>
      <c r="I22" t="e">
        <v>#N/A</v>
      </c>
    </row>
  </sheetData>
  <mergeCells count="1">
    <mergeCell ref="B1:E1"/>
  </mergeCells>
  <phoneticPr fontId="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2319A-AAA5-4054-BBD3-5E49EDAB775C}">
  <sheetPr>
    <tabColor rgb="FFFF0000"/>
  </sheetPr>
  <dimension ref="A1:M19"/>
  <sheetViews>
    <sheetView tabSelected="1" workbookViewId="0">
      <selection activeCell="J10" sqref="J10"/>
    </sheetView>
  </sheetViews>
  <sheetFormatPr defaultRowHeight="14.4" x14ac:dyDescent="0.3"/>
  <cols>
    <col min="1" max="1" width="8.21875" customWidth="1"/>
    <col min="2" max="2" width="20.6640625" customWidth="1"/>
    <col min="3" max="3" width="39.88671875" customWidth="1"/>
    <col min="4" max="4" width="13" customWidth="1"/>
    <col min="5" max="5" width="12.88671875" customWidth="1"/>
    <col min="6" max="6" width="13.5546875" customWidth="1"/>
    <col min="7" max="7" width="13.88671875" customWidth="1"/>
    <col min="9" max="9" width="16" bestFit="1" customWidth="1"/>
    <col min="10" max="10" width="12.109375" bestFit="1" customWidth="1"/>
    <col min="11" max="11" width="11.21875" customWidth="1"/>
    <col min="12" max="12" width="12.33203125" customWidth="1"/>
    <col min="13" max="13" width="12.109375" customWidth="1"/>
    <col min="14" max="14" width="10.33203125" customWidth="1"/>
  </cols>
  <sheetData>
    <row r="1" spans="1:13" ht="23.4" x14ac:dyDescent="0.3">
      <c r="A1" s="20">
        <v>9</v>
      </c>
      <c r="B1" s="48" t="s">
        <v>126</v>
      </c>
      <c r="C1" s="47"/>
    </row>
    <row r="2" spans="1:13" ht="15" thickBot="1" x14ac:dyDescent="0.35"/>
    <row r="3" spans="1:13" ht="24.6" thickTop="1" thickBot="1" x14ac:dyDescent="0.35">
      <c r="A3" s="34"/>
      <c r="B3" s="21" t="s">
        <v>66</v>
      </c>
      <c r="C3" s="24" t="s">
        <v>65</v>
      </c>
      <c r="D3" s="24" t="s">
        <v>122</v>
      </c>
      <c r="E3" s="24" t="s">
        <v>123</v>
      </c>
      <c r="F3" s="24" t="s">
        <v>124</v>
      </c>
      <c r="G3" s="40" t="s">
        <v>125</v>
      </c>
      <c r="I3" s="21" t="s">
        <v>66</v>
      </c>
      <c r="J3" s="24" t="s">
        <v>122</v>
      </c>
      <c r="K3" s="24" t="s">
        <v>123</v>
      </c>
      <c r="L3" s="41" t="s">
        <v>124</v>
      </c>
    </row>
    <row r="4" spans="1:13" ht="22.2" thickTop="1" thickBot="1" x14ac:dyDescent="0.35">
      <c r="A4" s="33"/>
      <c r="B4" s="18" t="s">
        <v>67</v>
      </c>
      <c r="C4" s="25" t="s">
        <v>9</v>
      </c>
      <c r="D4" s="25">
        <v>1200</v>
      </c>
      <c r="E4" s="25">
        <v>70000</v>
      </c>
      <c r="F4" s="25">
        <v>1200</v>
      </c>
      <c r="G4" s="39">
        <v>2300</v>
      </c>
      <c r="I4" s="25" t="s">
        <v>73</v>
      </c>
      <c r="J4" s="25" cm="1">
        <f t="array" ref="J4:L4">VLOOKUP(I4,B3:G15,{3,4,5},0)</f>
        <v>54000</v>
      </c>
      <c r="K4" s="25">
        <v>7800</v>
      </c>
      <c r="L4" s="38">
        <v>23900</v>
      </c>
    </row>
    <row r="5" spans="1:13" ht="22.2" thickTop="1" thickBot="1" x14ac:dyDescent="0.35">
      <c r="A5" s="33"/>
      <c r="B5" s="19" t="s">
        <v>68</v>
      </c>
      <c r="C5" s="25" t="s">
        <v>14</v>
      </c>
      <c r="D5" s="25">
        <v>2300</v>
      </c>
      <c r="E5" s="25">
        <v>50000</v>
      </c>
      <c r="F5" s="25">
        <v>2330</v>
      </c>
      <c r="G5" s="37">
        <v>540000</v>
      </c>
      <c r="I5" t="s">
        <v>75</v>
      </c>
      <c r="J5" cm="1">
        <f t="array" ref="J5:L5">VLOOKUP(I5,B3:G15,{3,4,5},0)</f>
        <v>44500</v>
      </c>
      <c r="K5">
        <v>2300</v>
      </c>
      <c r="L5">
        <v>3400</v>
      </c>
    </row>
    <row r="6" spans="1:13" ht="22.2" thickTop="1" thickBot="1" x14ac:dyDescent="0.35">
      <c r="A6" s="33"/>
      <c r="B6" s="19" t="s">
        <v>69</v>
      </c>
      <c r="C6" s="25" t="s">
        <v>24</v>
      </c>
      <c r="D6" s="25">
        <v>34000</v>
      </c>
      <c r="E6" s="25">
        <v>3400</v>
      </c>
      <c r="F6" s="25">
        <v>54000</v>
      </c>
      <c r="G6" s="37">
        <v>7800</v>
      </c>
      <c r="I6" t="s">
        <v>79</v>
      </c>
      <c r="J6" cm="1">
        <f t="array" ref="J6:L6">VLOOKUP(I6,B3:G15,{3,4,5},0)</f>
        <v>23900</v>
      </c>
      <c r="K6">
        <v>8700</v>
      </c>
      <c r="L6">
        <v>540000</v>
      </c>
    </row>
    <row r="7" spans="1:13" ht="22.2" thickTop="1" thickBot="1" x14ac:dyDescent="0.35">
      <c r="A7" s="33"/>
      <c r="B7" s="19" t="s">
        <v>70</v>
      </c>
      <c r="C7" s="25" t="s">
        <v>82</v>
      </c>
      <c r="D7" s="25">
        <v>45000</v>
      </c>
      <c r="E7" s="25">
        <v>3400</v>
      </c>
      <c r="F7" s="25">
        <v>6500</v>
      </c>
      <c r="G7" s="37">
        <v>3400</v>
      </c>
    </row>
    <row r="8" spans="1:13" ht="24.6" thickTop="1" thickBot="1" x14ac:dyDescent="0.35">
      <c r="A8" s="33"/>
      <c r="B8" s="19" t="s">
        <v>71</v>
      </c>
      <c r="C8" s="25" t="s">
        <v>83</v>
      </c>
      <c r="D8" s="25">
        <v>1200</v>
      </c>
      <c r="E8" s="25">
        <v>2300</v>
      </c>
      <c r="F8" s="25">
        <v>44500</v>
      </c>
      <c r="G8" s="37">
        <v>2300</v>
      </c>
      <c r="I8" s="21" t="s">
        <v>66</v>
      </c>
      <c r="J8" s="41" t="s">
        <v>124</v>
      </c>
      <c r="K8" s="24" t="s">
        <v>122</v>
      </c>
      <c r="L8" s="51" t="s">
        <v>123</v>
      </c>
      <c r="M8" s="40" t="s">
        <v>125</v>
      </c>
    </row>
    <row r="9" spans="1:13" ht="22.2" thickTop="1" thickBot="1" x14ac:dyDescent="0.35">
      <c r="A9" s="33"/>
      <c r="B9" s="19" t="s">
        <v>72</v>
      </c>
      <c r="C9" s="25" t="s">
        <v>84</v>
      </c>
      <c r="D9" s="25">
        <v>2330</v>
      </c>
      <c r="E9" s="25">
        <v>540000</v>
      </c>
      <c r="F9" s="25">
        <v>4300</v>
      </c>
      <c r="G9" s="37">
        <v>5440</v>
      </c>
      <c r="I9" t="s">
        <v>67</v>
      </c>
      <c r="J9" cm="1">
        <f t="array" ref="J9:M9">VLOOKUP(I9,B3:G15,{5,3,4,6},0)</f>
        <v>1200</v>
      </c>
      <c r="K9">
        <v>1200</v>
      </c>
      <c r="L9">
        <v>70000</v>
      </c>
      <c r="M9">
        <v>2300</v>
      </c>
    </row>
    <row r="10" spans="1:13" ht="22.2" thickTop="1" thickBot="1" x14ac:dyDescent="0.35">
      <c r="A10" s="33"/>
      <c r="B10" s="19" t="s">
        <v>73</v>
      </c>
      <c r="C10" s="25" t="s">
        <v>85</v>
      </c>
      <c r="D10" s="25">
        <v>54000</v>
      </c>
      <c r="E10" s="25">
        <v>7800</v>
      </c>
      <c r="F10" s="25">
        <v>23900</v>
      </c>
      <c r="G10" s="37">
        <v>8700</v>
      </c>
    </row>
    <row r="11" spans="1:13" ht="22.2" thickTop="1" thickBot="1" x14ac:dyDescent="0.35">
      <c r="A11" s="33"/>
      <c r="B11" s="19" t="s">
        <v>74</v>
      </c>
      <c r="C11" s="25" t="s">
        <v>86</v>
      </c>
      <c r="D11" s="25">
        <v>6500</v>
      </c>
      <c r="E11" s="25">
        <v>3400</v>
      </c>
      <c r="F11" s="25">
        <v>3400</v>
      </c>
      <c r="G11" s="37">
        <v>54000</v>
      </c>
    </row>
    <row r="12" spans="1:13" ht="22.2" thickTop="1" thickBot="1" x14ac:dyDescent="0.35">
      <c r="A12" s="33"/>
      <c r="B12" s="19" t="s">
        <v>75</v>
      </c>
      <c r="C12" s="25" t="s">
        <v>12</v>
      </c>
      <c r="D12" s="25">
        <v>44500</v>
      </c>
      <c r="E12" s="25">
        <v>2300</v>
      </c>
      <c r="F12" s="25">
        <v>3400</v>
      </c>
      <c r="G12" s="37">
        <v>6500</v>
      </c>
    </row>
    <row r="13" spans="1:13" ht="22.2" thickTop="1" thickBot="1" x14ac:dyDescent="0.35">
      <c r="A13" s="33"/>
      <c r="B13" s="19" t="s">
        <v>76</v>
      </c>
      <c r="C13" s="25" t="s">
        <v>87</v>
      </c>
      <c r="D13" s="25">
        <v>4300</v>
      </c>
      <c r="E13" s="25">
        <v>5440</v>
      </c>
      <c r="F13" s="25">
        <v>2300</v>
      </c>
      <c r="G13" s="37">
        <v>44500</v>
      </c>
    </row>
    <row r="14" spans="1:13" ht="22.2" thickTop="1" thickBot="1" x14ac:dyDescent="0.35">
      <c r="A14" s="33"/>
      <c r="B14" s="19" t="s">
        <v>79</v>
      </c>
      <c r="C14" s="25" t="s">
        <v>88</v>
      </c>
      <c r="D14" s="25">
        <v>23900</v>
      </c>
      <c r="E14" s="25">
        <v>8700</v>
      </c>
      <c r="F14" s="25">
        <v>540000</v>
      </c>
      <c r="G14" s="37">
        <v>4300</v>
      </c>
    </row>
    <row r="15" spans="1:13" ht="22.2" thickTop="1" thickBot="1" x14ac:dyDescent="0.35">
      <c r="A15" s="33"/>
      <c r="B15" s="19" t="s">
        <v>77</v>
      </c>
      <c r="C15" s="25" t="s">
        <v>89</v>
      </c>
      <c r="D15" s="25">
        <v>23000</v>
      </c>
      <c r="E15" s="25">
        <v>23000</v>
      </c>
      <c r="F15" s="25">
        <v>2300</v>
      </c>
      <c r="G15" s="38">
        <v>44500</v>
      </c>
    </row>
    <row r="16" spans="1:13" ht="22.2" thickTop="1" thickBot="1" x14ac:dyDescent="0.35">
      <c r="A16" s="33"/>
    </row>
    <row r="17" spans="1:7" ht="24.6" thickTop="1" thickBot="1" x14ac:dyDescent="0.35">
      <c r="A17" s="33"/>
      <c r="B17" s="21" t="s">
        <v>66</v>
      </c>
      <c r="C17" s="24" t="s">
        <v>65</v>
      </c>
      <c r="D17" s="24" t="s">
        <v>122</v>
      </c>
      <c r="E17" s="24" t="s">
        <v>123</v>
      </c>
      <c r="F17" s="24" t="s">
        <v>124</v>
      </c>
      <c r="G17" s="40" t="s">
        <v>125</v>
      </c>
    </row>
    <row r="18" spans="1:7" ht="22.2" thickTop="1" thickBot="1" x14ac:dyDescent="0.35">
      <c r="A18" s="33"/>
      <c r="B18" s="25" t="s">
        <v>69</v>
      </c>
      <c r="C18" s="25" t="str" cm="1">
        <f t="array" ref="C18:G18">VLOOKUP(B18,B3:G15,{2,3,4,5,6},0)</f>
        <v>Printer</v>
      </c>
      <c r="D18" s="25">
        <v>34000</v>
      </c>
      <c r="E18" s="25">
        <v>3400</v>
      </c>
      <c r="F18" s="25">
        <v>54000</v>
      </c>
      <c r="G18" s="25">
        <v>7800</v>
      </c>
    </row>
    <row r="19" spans="1:7" ht="15" thickTop="1" x14ac:dyDescent="0.3"/>
  </sheetData>
  <mergeCells count="1">
    <mergeCell ref="B1:C1"/>
  </mergeCells>
  <phoneticPr fontId="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DBBFA-6BCE-46DE-80E9-77F597271E58}">
  <sheetPr>
    <tabColor rgb="FFFF0000"/>
  </sheetPr>
  <dimension ref="A1:K18"/>
  <sheetViews>
    <sheetView workbookViewId="0">
      <selection activeCell="M6" sqref="M6"/>
    </sheetView>
  </sheetViews>
  <sheetFormatPr defaultRowHeight="14.4" x14ac:dyDescent="0.3"/>
  <cols>
    <col min="1" max="1" width="8.21875" customWidth="1"/>
    <col min="2" max="2" width="20.6640625" customWidth="1"/>
    <col min="3" max="3" width="39.88671875" customWidth="1"/>
    <col min="4" max="4" width="13" customWidth="1"/>
    <col min="5" max="5" width="12.88671875" customWidth="1"/>
    <col min="6" max="6" width="13.5546875" customWidth="1"/>
    <col min="7" max="7" width="13.88671875" customWidth="1"/>
    <col min="9" max="9" width="16" bestFit="1" customWidth="1"/>
    <col min="10" max="10" width="19.109375" customWidth="1"/>
    <col min="11" max="11" width="11.21875" customWidth="1"/>
    <col min="12" max="12" width="12.33203125" customWidth="1"/>
    <col min="13" max="13" width="12.109375" customWidth="1"/>
    <col min="14" max="14" width="10.33203125" customWidth="1"/>
  </cols>
  <sheetData>
    <row r="1" spans="1:11" ht="23.4" x14ac:dyDescent="0.3">
      <c r="A1" s="20">
        <v>10</v>
      </c>
      <c r="B1" s="48" t="s">
        <v>127</v>
      </c>
      <c r="C1" s="47"/>
    </row>
    <row r="2" spans="1:11" ht="15" thickBot="1" x14ac:dyDescent="0.35"/>
    <row r="3" spans="1:11" ht="24.6" thickTop="1" thickBot="1" x14ac:dyDescent="0.35">
      <c r="A3" s="34"/>
      <c r="B3" s="21" t="s">
        <v>66</v>
      </c>
      <c r="C3" s="24" t="s">
        <v>65</v>
      </c>
      <c r="D3" s="24" t="s">
        <v>122</v>
      </c>
      <c r="E3" s="24" t="s">
        <v>123</v>
      </c>
      <c r="F3" s="24" t="s">
        <v>124</v>
      </c>
      <c r="G3" s="40" t="s">
        <v>125</v>
      </c>
      <c r="I3" s="21" t="s">
        <v>66</v>
      </c>
      <c r="J3" s="42" t="s">
        <v>128</v>
      </c>
    </row>
    <row r="4" spans="1:11" ht="22.2" thickTop="1" thickBot="1" x14ac:dyDescent="0.35">
      <c r="A4" s="33"/>
      <c r="B4" s="18" t="s">
        <v>67</v>
      </c>
      <c r="C4" s="25" t="s">
        <v>9</v>
      </c>
      <c r="D4" s="25">
        <v>1200</v>
      </c>
      <c r="E4" s="25">
        <v>70000</v>
      </c>
      <c r="F4" s="25">
        <v>1200</v>
      </c>
      <c r="G4" s="39">
        <v>2300</v>
      </c>
      <c r="I4" s="25" t="s">
        <v>73</v>
      </c>
      <c r="J4" s="43" cm="1">
        <f t="array" ref="J4">SUM(VLOOKUP(I4,B3:G15,{3,4,5,6},0))</f>
        <v>94400</v>
      </c>
      <c r="K4" s="44" t="s">
        <v>131</v>
      </c>
    </row>
    <row r="5" spans="1:11" ht="22.2" thickTop="1" thickBot="1" x14ac:dyDescent="0.35">
      <c r="A5" s="33"/>
      <c r="B5" s="19" t="s">
        <v>68</v>
      </c>
      <c r="C5" s="25" t="s">
        <v>14</v>
      </c>
      <c r="D5" s="25">
        <v>2300</v>
      </c>
      <c r="E5" s="25">
        <v>50000</v>
      </c>
      <c r="F5" s="25">
        <v>2330</v>
      </c>
      <c r="G5" s="37">
        <v>540000</v>
      </c>
      <c r="I5" s="25" t="s">
        <v>74</v>
      </c>
      <c r="J5" s="43" cm="1">
        <f t="array" ref="J5">AVERAGE(VLOOKUP(I5,B4:G16,{3,4,5,6},0))</f>
        <v>16825</v>
      </c>
      <c r="K5" s="44" t="s">
        <v>130</v>
      </c>
    </row>
    <row r="6" spans="1:11" ht="22.2" thickTop="1" thickBot="1" x14ac:dyDescent="0.35">
      <c r="A6" s="33"/>
      <c r="B6" s="19" t="s">
        <v>69</v>
      </c>
      <c r="C6" s="25" t="s">
        <v>24</v>
      </c>
      <c r="D6" s="25">
        <v>34000</v>
      </c>
      <c r="E6" s="25">
        <v>3400</v>
      </c>
      <c r="F6" s="25">
        <v>54000</v>
      </c>
      <c r="G6" s="37">
        <v>7800</v>
      </c>
      <c r="I6" s="25" t="s">
        <v>75</v>
      </c>
      <c r="J6" s="43" cm="1">
        <f t="array" ref="J6">MAX(VLOOKUP(I6,B5:G17,{3,4,5,6},0))</f>
        <v>44500</v>
      </c>
      <c r="K6" s="44" t="s">
        <v>129</v>
      </c>
    </row>
    <row r="7" spans="1:11" ht="22.2" thickTop="1" thickBot="1" x14ac:dyDescent="0.35">
      <c r="A7" s="33"/>
      <c r="B7" s="19" t="s">
        <v>70</v>
      </c>
      <c r="C7" s="25" t="s">
        <v>82</v>
      </c>
      <c r="D7" s="25">
        <v>45000</v>
      </c>
      <c r="E7" s="25">
        <v>3400</v>
      </c>
      <c r="F7" s="25">
        <v>6500</v>
      </c>
      <c r="G7" s="37">
        <v>3400</v>
      </c>
    </row>
    <row r="8" spans="1:11" ht="22.2" thickTop="1" thickBot="1" x14ac:dyDescent="0.35">
      <c r="A8" s="33"/>
      <c r="B8" s="19" t="s">
        <v>71</v>
      </c>
      <c r="C8" s="25" t="s">
        <v>83</v>
      </c>
      <c r="D8" s="25">
        <v>1200</v>
      </c>
      <c r="E8" s="25">
        <v>2300</v>
      </c>
      <c r="F8" s="25">
        <v>44500</v>
      </c>
      <c r="G8" s="37">
        <v>2300</v>
      </c>
    </row>
    <row r="9" spans="1:11" ht="22.2" thickTop="1" thickBot="1" x14ac:dyDescent="0.35">
      <c r="A9" s="33"/>
      <c r="B9" s="19" t="s">
        <v>72</v>
      </c>
      <c r="C9" s="25" t="s">
        <v>84</v>
      </c>
      <c r="D9" s="25">
        <v>2330</v>
      </c>
      <c r="E9" s="25">
        <v>540000</v>
      </c>
      <c r="F9" s="25">
        <v>4300</v>
      </c>
      <c r="G9" s="37">
        <v>5440</v>
      </c>
    </row>
    <row r="10" spans="1:11" ht="22.2" thickTop="1" thickBot="1" x14ac:dyDescent="0.35">
      <c r="A10" s="33"/>
      <c r="B10" s="19" t="s">
        <v>73</v>
      </c>
      <c r="C10" s="25" t="s">
        <v>85</v>
      </c>
      <c r="D10" s="25">
        <v>54000</v>
      </c>
      <c r="E10" s="25">
        <v>7800</v>
      </c>
      <c r="F10" s="25">
        <v>23900</v>
      </c>
      <c r="G10" s="37">
        <v>8700</v>
      </c>
    </row>
    <row r="11" spans="1:11" ht="22.2" thickTop="1" thickBot="1" x14ac:dyDescent="0.35">
      <c r="A11" s="33"/>
      <c r="B11" s="19" t="s">
        <v>74</v>
      </c>
      <c r="C11" s="25" t="s">
        <v>86</v>
      </c>
      <c r="D11" s="25">
        <v>6500</v>
      </c>
      <c r="E11" s="25">
        <v>3400</v>
      </c>
      <c r="F11" s="25">
        <v>3400</v>
      </c>
      <c r="G11" s="37">
        <v>54000</v>
      </c>
    </row>
    <row r="12" spans="1:11" ht="22.2" thickTop="1" thickBot="1" x14ac:dyDescent="0.35">
      <c r="A12" s="33"/>
      <c r="B12" s="19" t="s">
        <v>75</v>
      </c>
      <c r="C12" s="25" t="s">
        <v>12</v>
      </c>
      <c r="D12" s="25">
        <v>44500</v>
      </c>
      <c r="E12" s="25">
        <v>2300</v>
      </c>
      <c r="F12" s="25">
        <v>3400</v>
      </c>
      <c r="G12" s="37">
        <v>6500</v>
      </c>
    </row>
    <row r="13" spans="1:11" ht="22.2" thickTop="1" thickBot="1" x14ac:dyDescent="0.35">
      <c r="A13" s="33"/>
      <c r="B13" s="19" t="s">
        <v>76</v>
      </c>
      <c r="C13" s="25" t="s">
        <v>87</v>
      </c>
      <c r="D13" s="25">
        <v>4300</v>
      </c>
      <c r="E13" s="25">
        <v>5440</v>
      </c>
      <c r="F13" s="25">
        <v>2300</v>
      </c>
      <c r="G13" s="37">
        <v>44500</v>
      </c>
    </row>
    <row r="14" spans="1:11" ht="22.2" thickTop="1" thickBot="1" x14ac:dyDescent="0.35">
      <c r="A14" s="33"/>
      <c r="B14" s="19" t="s">
        <v>79</v>
      </c>
      <c r="C14" s="25" t="s">
        <v>88</v>
      </c>
      <c r="D14" s="25">
        <v>23900</v>
      </c>
      <c r="E14" s="25">
        <v>8700</v>
      </c>
      <c r="F14" s="25">
        <v>540000</v>
      </c>
      <c r="G14" s="37">
        <v>4300</v>
      </c>
    </row>
    <row r="15" spans="1:11" ht="22.2" thickTop="1" thickBot="1" x14ac:dyDescent="0.35">
      <c r="A15" s="33"/>
      <c r="B15" s="19" t="s">
        <v>77</v>
      </c>
      <c r="C15" s="25" t="s">
        <v>89</v>
      </c>
      <c r="D15" s="25">
        <v>23000</v>
      </c>
      <c r="E15" s="25">
        <v>23000</v>
      </c>
      <c r="F15" s="25">
        <v>2300</v>
      </c>
      <c r="G15" s="38">
        <v>44500</v>
      </c>
    </row>
    <row r="16" spans="1:11" ht="21.6" thickTop="1" x14ac:dyDescent="0.3">
      <c r="A16" s="33"/>
    </row>
    <row r="17" spans="1:1" ht="21" x14ac:dyDescent="0.3">
      <c r="A17" s="33"/>
    </row>
    <row r="18" spans="1:1" ht="21" x14ac:dyDescent="0.3">
      <c r="A18" s="33"/>
    </row>
  </sheetData>
  <mergeCells count="1">
    <mergeCell ref="B1:C1"/>
  </mergeCells>
  <phoneticPr fontId="7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3404F-DE91-4B6F-A126-A9473B51CA52}">
  <sheetPr>
    <tabColor rgb="FFFF0000"/>
  </sheetPr>
  <dimension ref="A1:K18"/>
  <sheetViews>
    <sheetView workbookViewId="0">
      <selection activeCell="I10" sqref="I10"/>
    </sheetView>
  </sheetViews>
  <sheetFormatPr defaultRowHeight="14.4" x14ac:dyDescent="0.3"/>
  <cols>
    <col min="1" max="1" width="8.21875" customWidth="1"/>
    <col min="2" max="2" width="20.6640625" customWidth="1"/>
    <col min="3" max="3" width="39.88671875" customWidth="1"/>
    <col min="4" max="4" width="13" customWidth="1"/>
    <col min="5" max="5" width="12.88671875" customWidth="1"/>
    <col min="6" max="6" width="13.5546875" customWidth="1"/>
    <col min="7" max="7" width="10" customWidth="1"/>
    <col min="8" max="8" width="15.6640625" customWidth="1"/>
    <col min="9" max="9" width="16" bestFit="1" customWidth="1"/>
    <col min="10" max="10" width="19.109375" customWidth="1"/>
    <col min="11" max="11" width="18.6640625" customWidth="1"/>
    <col min="12" max="12" width="12.33203125" customWidth="1"/>
    <col min="13" max="13" width="12.109375" customWidth="1"/>
    <col min="14" max="14" width="10.33203125" customWidth="1"/>
  </cols>
  <sheetData>
    <row r="1" spans="1:11" ht="23.4" x14ac:dyDescent="0.3">
      <c r="A1" s="20">
        <v>11</v>
      </c>
      <c r="B1" s="48" t="s">
        <v>133</v>
      </c>
      <c r="C1" s="47"/>
    </row>
    <row r="2" spans="1:11" ht="15" thickBot="1" x14ac:dyDescent="0.35"/>
    <row r="3" spans="1:11" ht="24.6" thickTop="1" thickBot="1" x14ac:dyDescent="0.35">
      <c r="A3" s="34"/>
      <c r="B3" s="24" t="s">
        <v>65</v>
      </c>
      <c r="C3" s="24" t="s">
        <v>122</v>
      </c>
      <c r="D3" s="24" t="s">
        <v>123</v>
      </c>
      <c r="E3" s="24" t="s">
        <v>124</v>
      </c>
      <c r="F3" s="40" t="s">
        <v>125</v>
      </c>
      <c r="H3" s="21" t="s">
        <v>132</v>
      </c>
      <c r="I3" s="42" t="s">
        <v>124</v>
      </c>
      <c r="K3" s="46" t="s">
        <v>134</v>
      </c>
    </row>
    <row r="4" spans="1:11" ht="22.2" thickTop="1" thickBot="1" x14ac:dyDescent="0.35">
      <c r="A4" s="33"/>
      <c r="B4" s="45" t="s">
        <v>9</v>
      </c>
      <c r="C4" s="25">
        <v>1200</v>
      </c>
      <c r="D4" s="25">
        <v>70000</v>
      </c>
      <c r="E4" s="25">
        <v>1200</v>
      </c>
      <c r="F4" s="39">
        <v>2300</v>
      </c>
      <c r="H4" s="25" t="s">
        <v>24</v>
      </c>
      <c r="I4" s="43">
        <f>VLOOKUP(H4,B3:F15,4,0)</f>
        <v>54000</v>
      </c>
      <c r="K4" t="str" cm="1">
        <f t="array" ref="K4:K15">TRIM(B4:B15)</f>
        <v>Mouse</v>
      </c>
    </row>
    <row r="5" spans="1:11" ht="22.2" thickTop="1" thickBot="1" x14ac:dyDescent="0.35">
      <c r="A5" s="33"/>
      <c r="B5" s="25" t="s">
        <v>14</v>
      </c>
      <c r="C5" s="25">
        <v>2300</v>
      </c>
      <c r="D5" s="25">
        <v>50000</v>
      </c>
      <c r="E5" s="25">
        <v>2330</v>
      </c>
      <c r="F5" s="37">
        <v>540000</v>
      </c>
      <c r="K5" t="str">
        <v>Moniter</v>
      </c>
    </row>
    <row r="6" spans="1:11" ht="22.2" thickTop="1" thickBot="1" x14ac:dyDescent="0.35">
      <c r="A6" s="33"/>
      <c r="B6" s="25" t="s">
        <v>24</v>
      </c>
      <c r="C6" s="25">
        <v>34000</v>
      </c>
      <c r="D6" s="25">
        <v>3400</v>
      </c>
      <c r="E6" s="25">
        <v>54000</v>
      </c>
      <c r="F6" s="37">
        <v>7800</v>
      </c>
      <c r="K6" t="str">
        <v>Printer</v>
      </c>
    </row>
    <row r="7" spans="1:11" ht="22.2" thickTop="1" thickBot="1" x14ac:dyDescent="0.35">
      <c r="A7" s="33"/>
      <c r="B7" s="25" t="s">
        <v>82</v>
      </c>
      <c r="C7" s="25">
        <v>45000</v>
      </c>
      <c r="D7" s="25">
        <v>3400</v>
      </c>
      <c r="E7" s="25">
        <v>6500</v>
      </c>
      <c r="F7" s="37">
        <v>3400</v>
      </c>
      <c r="K7" t="str">
        <v>Processor i3</v>
      </c>
    </row>
    <row r="8" spans="1:11" ht="22.2" thickTop="1" thickBot="1" x14ac:dyDescent="0.35">
      <c r="A8" s="33"/>
      <c r="B8" s="25" t="s">
        <v>83</v>
      </c>
      <c r="C8" s="25">
        <v>1200</v>
      </c>
      <c r="D8" s="25">
        <v>2300</v>
      </c>
      <c r="E8" s="25">
        <v>44500</v>
      </c>
      <c r="F8" s="37">
        <v>2300</v>
      </c>
      <c r="H8" t="s">
        <v>135</v>
      </c>
      <c r="I8" t="str">
        <f>TRIM(H8)</f>
        <v>RAM</v>
      </c>
      <c r="K8" t="str">
        <v>Processor i4</v>
      </c>
    </row>
    <row r="9" spans="1:11" ht="22.2" thickTop="1" thickBot="1" x14ac:dyDescent="0.35">
      <c r="A9" s="33"/>
      <c r="B9" s="25" t="s">
        <v>84</v>
      </c>
      <c r="C9" s="25">
        <v>2330</v>
      </c>
      <c r="D9" s="25">
        <v>540000</v>
      </c>
      <c r="E9" s="25">
        <v>4300</v>
      </c>
      <c r="F9" s="37">
        <v>5440</v>
      </c>
      <c r="H9" t="s">
        <v>136</v>
      </c>
      <c r="I9" t="str">
        <f>TRIM(H9)</f>
        <v>RAJA</v>
      </c>
      <c r="K9" t="str">
        <v>Speaker</v>
      </c>
    </row>
    <row r="10" spans="1:11" ht="22.2" thickTop="1" thickBot="1" x14ac:dyDescent="0.35">
      <c r="A10" s="33"/>
      <c r="B10" s="25" t="s">
        <v>85</v>
      </c>
      <c r="C10" s="25">
        <v>54000</v>
      </c>
      <c r="D10" s="25">
        <v>7800</v>
      </c>
      <c r="E10" s="25">
        <v>23900</v>
      </c>
      <c r="F10" s="37">
        <v>8700</v>
      </c>
      <c r="K10" t="str">
        <v>RGB Light</v>
      </c>
    </row>
    <row r="11" spans="1:11" ht="22.2" thickTop="1" thickBot="1" x14ac:dyDescent="0.35">
      <c r="A11" s="33"/>
      <c r="B11" s="25" t="s">
        <v>86</v>
      </c>
      <c r="C11" s="25">
        <v>6500</v>
      </c>
      <c r="D11" s="25">
        <v>3400</v>
      </c>
      <c r="E11" s="25">
        <v>3400</v>
      </c>
      <c r="F11" s="37">
        <v>54000</v>
      </c>
      <c r="K11" t="str">
        <v>Monitor</v>
      </c>
    </row>
    <row r="12" spans="1:11" ht="22.2" thickTop="1" thickBot="1" x14ac:dyDescent="0.35">
      <c r="A12" s="33"/>
      <c r="B12" s="25" t="s">
        <v>12</v>
      </c>
      <c r="C12" s="25">
        <v>44500</v>
      </c>
      <c r="D12" s="25">
        <v>2300</v>
      </c>
      <c r="E12" s="25">
        <v>3400</v>
      </c>
      <c r="F12" s="37">
        <v>6500</v>
      </c>
      <c r="K12" t="str">
        <v>Keyboard</v>
      </c>
    </row>
    <row r="13" spans="1:11" ht="22.2" thickTop="1" thickBot="1" x14ac:dyDescent="0.35">
      <c r="A13" s="33"/>
      <c r="B13" s="25" t="s">
        <v>87</v>
      </c>
      <c r="C13" s="25">
        <v>4300</v>
      </c>
      <c r="D13" s="25">
        <v>5440</v>
      </c>
      <c r="E13" s="25">
        <v>2300</v>
      </c>
      <c r="F13" s="37">
        <v>44500</v>
      </c>
      <c r="K13" t="str">
        <v>Mouse 3.0</v>
      </c>
    </row>
    <row r="14" spans="1:11" ht="22.2" thickTop="1" thickBot="1" x14ac:dyDescent="0.35">
      <c r="A14" s="33"/>
      <c r="B14" s="25" t="s">
        <v>88</v>
      </c>
      <c r="C14" s="25">
        <v>23900</v>
      </c>
      <c r="D14" s="25">
        <v>8700</v>
      </c>
      <c r="E14" s="25">
        <v>540000</v>
      </c>
      <c r="F14" s="37">
        <v>4300</v>
      </c>
      <c r="K14" t="str">
        <v>Wireless Mouse</v>
      </c>
    </row>
    <row r="15" spans="1:11" ht="22.2" thickTop="1" thickBot="1" x14ac:dyDescent="0.35">
      <c r="A15" s="33"/>
      <c r="B15" s="25" t="s">
        <v>89</v>
      </c>
      <c r="C15" s="25">
        <v>23000</v>
      </c>
      <c r="D15" s="25">
        <v>23000</v>
      </c>
      <c r="E15" s="25">
        <v>2300</v>
      </c>
      <c r="F15" s="38">
        <v>44500</v>
      </c>
      <c r="K15" t="str">
        <v>HDD 256 GB</v>
      </c>
    </row>
    <row r="16" spans="1:11" ht="21.6" thickTop="1" x14ac:dyDescent="0.3">
      <c r="A16" s="33"/>
    </row>
    <row r="17" spans="1:1" ht="21" x14ac:dyDescent="0.3">
      <c r="A17" s="33"/>
    </row>
    <row r="18" spans="1:1" ht="21" x14ac:dyDescent="0.3">
      <c r="A18" s="33"/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Vlookup</vt:lpstr>
      <vt:lpstr>Double Vlookup 1</vt:lpstr>
      <vt:lpstr>Double Vlookup 2</vt:lpstr>
      <vt:lpstr>Advanced Vlookup</vt:lpstr>
      <vt:lpstr>VLOOKUP 1</vt:lpstr>
      <vt:lpstr>VLOOKUP 2</vt:lpstr>
      <vt:lpstr>VLOOKUP 3</vt:lpstr>
      <vt:lpstr>VLOOKUP 4</vt:lpstr>
      <vt:lpstr>VLOOKUP 5</vt:lpstr>
      <vt:lpstr>VLOOKUP 6</vt:lpstr>
      <vt:lpstr>VLOOKUP 7</vt:lpstr>
      <vt:lpstr>VLOOKUP 8</vt:lpstr>
      <vt:lpstr>VLOOKUP 9</vt:lpstr>
      <vt:lpstr>VLOOKUP 10</vt:lpstr>
      <vt:lpstr>VLOOKUP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</dc:creator>
  <cp:lastModifiedBy>shivam kumar</cp:lastModifiedBy>
  <dcterms:created xsi:type="dcterms:W3CDTF">2025-06-04T15:10:35Z</dcterms:created>
  <dcterms:modified xsi:type="dcterms:W3CDTF">2025-06-27T16:03:35Z</dcterms:modified>
</cp:coreProperties>
</file>