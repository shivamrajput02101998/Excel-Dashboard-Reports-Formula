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14_{1411B400-6E8F-4701-841C-CD28066EDF82}" xr6:coauthVersionLast="47" xr6:coauthVersionMax="47" xr10:uidLastSave="{00000000-0000-0000-0000-000000000000}"/>
  <bookViews>
    <workbookView xWindow="-108" yWindow="-108" windowWidth="23256" windowHeight="12576" xr2:uid="{FDDBFE2B-F673-4966-A947-F02676380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6" i="1"/>
  <c r="F23" i="1"/>
  <c r="E24" i="1"/>
  <c r="E25" i="1"/>
  <c r="E26" i="1"/>
  <c r="E23" i="1"/>
  <c r="N5" i="1"/>
  <c r="H6" i="1"/>
  <c r="H7" i="1"/>
  <c r="H8" i="1"/>
  <c r="H9" i="1"/>
  <c r="H10" i="1"/>
  <c r="I6" i="1"/>
  <c r="I7" i="1"/>
  <c r="I8" i="1"/>
  <c r="I9" i="1"/>
  <c r="I10" i="1"/>
  <c r="I5" i="1"/>
  <c r="H5" i="1"/>
  <c r="F6" i="1"/>
  <c r="F7" i="1"/>
  <c r="F8" i="1"/>
  <c r="F9" i="1"/>
  <c r="F10" i="1"/>
  <c r="F5" i="1"/>
  <c r="I15" i="1"/>
  <c r="I16" i="1"/>
  <c r="I17" i="1"/>
  <c r="I18" i="1"/>
  <c r="I19" i="1"/>
  <c r="I20" i="1"/>
  <c r="I14" i="1"/>
  <c r="H15" i="1"/>
  <c r="H16" i="1"/>
  <c r="H17" i="1"/>
  <c r="H18" i="1"/>
  <c r="H19" i="1"/>
  <c r="H20" i="1"/>
  <c r="H14" i="1"/>
  <c r="G15" i="1"/>
  <c r="G16" i="1"/>
  <c r="G17" i="1"/>
  <c r="G18" i="1"/>
  <c r="G19" i="1"/>
  <c r="G20" i="1"/>
  <c r="G14" i="1"/>
  <c r="F15" i="1"/>
  <c r="F16" i="1"/>
  <c r="F17" i="1"/>
  <c r="F18" i="1"/>
  <c r="F19" i="1"/>
  <c r="F20" i="1"/>
  <c r="F14" i="1"/>
  <c r="E20" i="1"/>
  <c r="E19" i="1"/>
  <c r="E18" i="1"/>
  <c r="E17" i="1"/>
  <c r="E16" i="1"/>
  <c r="E15" i="1"/>
  <c r="E14" i="1"/>
  <c r="D15" i="1"/>
  <c r="D16" i="1"/>
  <c r="D17" i="1"/>
  <c r="D18" i="1"/>
  <c r="D19" i="1"/>
  <c r="D20" i="1"/>
  <c r="D14" i="1"/>
  <c r="M3" i="1"/>
  <c r="M2" i="1"/>
</calcChain>
</file>

<file path=xl/sharedStrings.xml><?xml version="1.0" encoding="utf-8"?>
<sst xmlns="http://schemas.openxmlformats.org/spreadsheetml/2006/main" count="51" uniqueCount="44">
  <si>
    <t>Name</t>
  </si>
  <si>
    <t>Hindi</t>
  </si>
  <si>
    <t>English</t>
  </si>
  <si>
    <t>Math</t>
  </si>
  <si>
    <t>Obt.M</t>
  </si>
  <si>
    <t>T.Marks</t>
  </si>
  <si>
    <t>Result</t>
  </si>
  <si>
    <t>Ram</t>
  </si>
  <si>
    <t>Shyam</t>
  </si>
  <si>
    <t>Geeta</t>
  </si>
  <si>
    <t>Sita</t>
  </si>
  <si>
    <t>Radha</t>
  </si>
  <si>
    <t>Krishan</t>
  </si>
  <si>
    <t>Value 1</t>
  </si>
  <si>
    <t>Value 2</t>
  </si>
  <si>
    <t>IF</t>
  </si>
  <si>
    <t>AND</t>
  </si>
  <si>
    <t>OR</t>
  </si>
  <si>
    <t>NOT</t>
  </si>
  <si>
    <t>IF(OR)</t>
  </si>
  <si>
    <t>IF(AND)</t>
  </si>
  <si>
    <t>XOR</t>
  </si>
  <si>
    <t>IF(XOR)</t>
  </si>
  <si>
    <t>AND(XOR)</t>
  </si>
  <si>
    <t>Simple Logic</t>
  </si>
  <si>
    <t>=</t>
  </si>
  <si>
    <t>&lt;</t>
  </si>
  <si>
    <t>&gt;</t>
  </si>
  <si>
    <t>&lt;=</t>
  </si>
  <si>
    <t>&gt;=</t>
  </si>
  <si>
    <t>&lt;&gt;</t>
  </si>
  <si>
    <t>Yes</t>
  </si>
  <si>
    <t>No</t>
  </si>
  <si>
    <t>Team</t>
  </si>
  <si>
    <t>Match 1</t>
  </si>
  <si>
    <t>Match 2</t>
  </si>
  <si>
    <t>Match 3</t>
  </si>
  <si>
    <t>Team 1</t>
  </si>
  <si>
    <t>Team 2</t>
  </si>
  <si>
    <t>Team 3</t>
  </si>
  <si>
    <t>Team 4</t>
  </si>
  <si>
    <t>WON</t>
  </si>
  <si>
    <t>LOSS</t>
  </si>
  <si>
    <t>Match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</si>
</sst>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F35FE1-F666-4035-BDD4-8F1B94E95D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02DE-0EF4-4484-831B-A601B528ED1B}">
  <dimension ref="A1:N26"/>
  <sheetViews>
    <sheetView tabSelected="1" workbookViewId="0">
      <selection activeCell="F23" sqref="F23"/>
    </sheetView>
  </sheetViews>
  <sheetFormatPr defaultRowHeight="14.4" x14ac:dyDescent="0.3"/>
  <cols>
    <col min="2" max="2" width="10.88671875" customWidth="1"/>
    <col min="3" max="3" width="10.109375" customWidth="1"/>
    <col min="9" max="9" width="10.44140625" customWidth="1"/>
    <col min="11" max="11" width="10.33203125" customWidth="1"/>
    <col min="12" max="12" width="13.109375" customWidth="1"/>
  </cols>
  <sheetData>
    <row r="1" spans="1:14" ht="18" x14ac:dyDescent="0.3">
      <c r="A1" s="5" t="s">
        <v>24</v>
      </c>
      <c r="B1" s="5"/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3"/>
    </row>
    <row r="2" spans="1:14" x14ac:dyDescent="0.3">
      <c r="M2" t="b">
        <f>1=1</f>
        <v>1</v>
      </c>
    </row>
    <row r="3" spans="1:14" x14ac:dyDescent="0.3">
      <c r="M3" t="b">
        <f>1=2</f>
        <v>0</v>
      </c>
    </row>
    <row r="4" spans="1:14" ht="18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/>
    </row>
    <row r="5" spans="1:14" x14ac:dyDescent="0.3">
      <c r="B5" s="2" t="s">
        <v>7</v>
      </c>
      <c r="C5" s="2">
        <v>58</v>
      </c>
      <c r="D5" s="2">
        <v>37</v>
      </c>
      <c r="E5" s="2">
        <v>83</v>
      </c>
      <c r="F5" s="2">
        <f t="shared" ref="F5:F10" si="0">SUM(C5:E5)</f>
        <v>178</v>
      </c>
      <c r="G5" s="2">
        <v>300</v>
      </c>
      <c r="H5" s="2" t="str">
        <f>IF(OR(C5&lt;33,D5&lt;33,E5&lt;33),"FAILL","PASS")</f>
        <v>PASS</v>
      </c>
      <c r="I5" t="str">
        <f>IF(_xlfn.XOR(C5&lt;33,D5&lt;33,E5&lt;33),"FAIL","PASS")</f>
        <v>PASS</v>
      </c>
      <c r="L5" t="s">
        <v>31</v>
      </c>
      <c r="M5" t="s">
        <v>32</v>
      </c>
      <c r="N5" t="b">
        <f>_xlfn.XOR(L5="Yes",M5="Yes")</f>
        <v>1</v>
      </c>
    </row>
    <row r="6" spans="1:14" x14ac:dyDescent="0.3">
      <c r="B6" s="2" t="s">
        <v>8</v>
      </c>
      <c r="C6" s="2">
        <v>69</v>
      </c>
      <c r="D6" s="2">
        <v>36</v>
      </c>
      <c r="E6" s="2">
        <v>32</v>
      </c>
      <c r="F6" s="2">
        <f t="shared" si="0"/>
        <v>137</v>
      </c>
      <c r="G6" s="2">
        <v>300</v>
      </c>
      <c r="H6" s="2" t="str">
        <f t="shared" ref="H6:H10" si="1">IF(OR(C6&lt;33,D6&lt;33,E6&lt;33),"FAILL","PASS")</f>
        <v>FAILL</v>
      </c>
      <c r="I6" t="str">
        <f t="shared" ref="I6:I10" si="2">IF(_xlfn.XOR(C6&lt;33,D6&lt;33,E6&lt;33),"FAIL","PASS")</f>
        <v>FAIL</v>
      </c>
    </row>
    <row r="7" spans="1:14" x14ac:dyDescent="0.3">
      <c r="B7" s="2" t="s">
        <v>9</v>
      </c>
      <c r="C7" s="2">
        <v>32</v>
      </c>
      <c r="D7" s="2">
        <v>32</v>
      </c>
      <c r="E7" s="2">
        <v>32</v>
      </c>
      <c r="F7" s="2">
        <f t="shared" si="0"/>
        <v>96</v>
      </c>
      <c r="G7" s="2">
        <v>300</v>
      </c>
      <c r="H7" s="2" t="str">
        <f t="shared" si="1"/>
        <v>FAILL</v>
      </c>
      <c r="I7" t="str">
        <f t="shared" si="2"/>
        <v>FAIL</v>
      </c>
    </row>
    <row r="8" spans="1:14" x14ac:dyDescent="0.3">
      <c r="B8" s="2" t="s">
        <v>10</v>
      </c>
      <c r="C8" s="2">
        <v>96</v>
      </c>
      <c r="D8" s="2">
        <v>90</v>
      </c>
      <c r="E8" s="2">
        <v>93</v>
      </c>
      <c r="F8" s="2">
        <f t="shared" si="0"/>
        <v>279</v>
      </c>
      <c r="G8" s="2">
        <v>300</v>
      </c>
      <c r="H8" s="2" t="str">
        <f t="shared" si="1"/>
        <v>PASS</v>
      </c>
      <c r="I8" t="str">
        <f t="shared" si="2"/>
        <v>PASS</v>
      </c>
    </row>
    <row r="9" spans="1:14" x14ac:dyDescent="0.3">
      <c r="B9" s="2" t="s">
        <v>11</v>
      </c>
      <c r="C9" s="2">
        <v>83</v>
      </c>
      <c r="D9" s="2">
        <v>53</v>
      </c>
      <c r="E9" s="2">
        <v>97</v>
      </c>
      <c r="F9" s="2">
        <f t="shared" si="0"/>
        <v>233</v>
      </c>
      <c r="G9" s="2">
        <v>300</v>
      </c>
      <c r="H9" s="2" t="str">
        <f t="shared" si="1"/>
        <v>PASS</v>
      </c>
      <c r="I9" t="str">
        <f t="shared" si="2"/>
        <v>PASS</v>
      </c>
    </row>
    <row r="10" spans="1:14" x14ac:dyDescent="0.3">
      <c r="B10" s="2" t="s">
        <v>12</v>
      </c>
      <c r="C10" s="2">
        <v>64</v>
      </c>
      <c r="D10" s="2">
        <v>45</v>
      </c>
      <c r="E10" s="2">
        <v>38</v>
      </c>
      <c r="F10" s="2">
        <f t="shared" si="0"/>
        <v>147</v>
      </c>
      <c r="G10" s="2">
        <v>300</v>
      </c>
      <c r="H10" s="2" t="str">
        <f t="shared" si="1"/>
        <v>PASS</v>
      </c>
      <c r="I10" t="str">
        <f t="shared" si="2"/>
        <v>PASS</v>
      </c>
    </row>
    <row r="13" spans="1:14" ht="18" x14ac:dyDescent="0.3"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22</v>
      </c>
      <c r="L13" s="1" t="s">
        <v>23</v>
      </c>
      <c r="M13" s="1" t="s">
        <v>15</v>
      </c>
    </row>
    <row r="14" spans="1:14" x14ac:dyDescent="0.3">
      <c r="B14" s="2">
        <v>100</v>
      </c>
      <c r="C14" s="2">
        <v>200</v>
      </c>
      <c r="D14" s="2" t="str">
        <f>IF(B14&lt;200,"RIGHT","WRONG")</f>
        <v>RIGHT</v>
      </c>
      <c r="E14" s="2" t="b">
        <f>AND(B14&lt;200,C14&lt;400)</f>
        <v>1</v>
      </c>
      <c r="F14" s="2" t="b">
        <f>OR(B14&lt;200,C14&lt;400)</f>
        <v>1</v>
      </c>
      <c r="G14" s="2" t="b">
        <f>NOT(B14&lt;200)</f>
        <v>0</v>
      </c>
      <c r="H14" s="2" t="str">
        <f>IF(OR(B14&lt;200,C14&lt;400),"ACCEP","OVERBUD")</f>
        <v>ACCEP</v>
      </c>
      <c r="I14" s="2" t="str">
        <f>IF(AND(B14&lt;200,C14&lt;400),"ACCEP","OVERBUD")</f>
        <v>ACCEP</v>
      </c>
      <c r="J14" s="2"/>
      <c r="K14" s="2"/>
      <c r="L14" s="2"/>
      <c r="M14" s="2"/>
    </row>
    <row r="15" spans="1:14" x14ac:dyDescent="0.3">
      <c r="B15" s="2">
        <v>600</v>
      </c>
      <c r="C15" s="2">
        <v>100</v>
      </c>
      <c r="D15" s="2" t="str">
        <f t="shared" ref="D15:D20" si="3">IF(B15&lt;200,"RIGHT","WRONG")</f>
        <v>WRONG</v>
      </c>
      <c r="E15" s="2" t="b">
        <f t="shared" ref="E15:E20" si="4">AND(B15&lt;200,C15&lt;400)</f>
        <v>0</v>
      </c>
      <c r="F15" s="2" t="b">
        <f t="shared" ref="F15:F20" si="5">OR(B15&lt;200,C15&lt;400)</f>
        <v>1</v>
      </c>
      <c r="G15" s="2" t="b">
        <f t="shared" ref="G15:G20" si="6">NOT(B15&lt;200)</f>
        <v>1</v>
      </c>
      <c r="H15" s="2" t="str">
        <f t="shared" ref="H15:H20" si="7">IF(OR(B15&lt;200,C15&lt;400),"ACCEP","OVERBUD")</f>
        <v>ACCEP</v>
      </c>
      <c r="I15" s="2" t="str">
        <f t="shared" ref="I15:I20" si="8">IF(AND(B15&lt;200,C15&lt;400),"ACCEP","OVERBUD")</f>
        <v>OVERBUD</v>
      </c>
      <c r="J15" s="2"/>
      <c r="K15" s="2"/>
      <c r="L15" s="2"/>
      <c r="M15" s="2"/>
    </row>
    <row r="16" spans="1:14" x14ac:dyDescent="0.3">
      <c r="B16" s="2">
        <v>400</v>
      </c>
      <c r="C16" s="2">
        <v>400</v>
      </c>
      <c r="D16" s="2" t="str">
        <f t="shared" si="3"/>
        <v>WRONG</v>
      </c>
      <c r="E16" s="2" t="b">
        <f t="shared" si="4"/>
        <v>0</v>
      </c>
      <c r="F16" s="2" t="b">
        <f t="shared" si="5"/>
        <v>0</v>
      </c>
      <c r="G16" s="2" t="b">
        <f t="shared" si="6"/>
        <v>1</v>
      </c>
      <c r="H16" s="2" t="str">
        <f t="shared" si="7"/>
        <v>OVERBUD</v>
      </c>
      <c r="I16" s="2" t="str">
        <f t="shared" si="8"/>
        <v>OVERBUD</v>
      </c>
      <c r="J16" s="2"/>
      <c r="K16" s="2"/>
      <c r="L16" s="2"/>
      <c r="M16" s="2"/>
    </row>
    <row r="17" spans="2:13" x14ac:dyDescent="0.3">
      <c r="B17" s="2">
        <v>200</v>
      </c>
      <c r="C17" s="2">
        <v>300</v>
      </c>
      <c r="D17" s="2" t="str">
        <f t="shared" si="3"/>
        <v>WRONG</v>
      </c>
      <c r="E17" s="2" t="b">
        <f t="shared" si="4"/>
        <v>0</v>
      </c>
      <c r="F17" s="2" t="b">
        <f t="shared" si="5"/>
        <v>1</v>
      </c>
      <c r="G17" s="2" t="b">
        <f t="shared" si="6"/>
        <v>1</v>
      </c>
      <c r="H17" s="2" t="str">
        <f t="shared" si="7"/>
        <v>ACCEP</v>
      </c>
      <c r="I17" s="2" t="str">
        <f t="shared" si="8"/>
        <v>OVERBUD</v>
      </c>
      <c r="J17" s="2"/>
      <c r="K17" s="2"/>
      <c r="L17" s="2"/>
      <c r="M17" s="2"/>
    </row>
    <row r="18" spans="2:13" x14ac:dyDescent="0.3">
      <c r="B18" s="2">
        <v>500</v>
      </c>
      <c r="C18" s="2">
        <v>400</v>
      </c>
      <c r="D18" s="2" t="str">
        <f t="shared" si="3"/>
        <v>WRONG</v>
      </c>
      <c r="E18" s="2" t="b">
        <f t="shared" si="4"/>
        <v>0</v>
      </c>
      <c r="F18" s="2" t="b">
        <f t="shared" si="5"/>
        <v>0</v>
      </c>
      <c r="G18" s="2" t="b">
        <f t="shared" si="6"/>
        <v>1</v>
      </c>
      <c r="H18" s="2" t="str">
        <f t="shared" si="7"/>
        <v>OVERBUD</v>
      </c>
      <c r="I18" s="2" t="str">
        <f t="shared" si="8"/>
        <v>OVERBUD</v>
      </c>
      <c r="J18" s="2"/>
      <c r="K18" s="2"/>
      <c r="L18" s="2"/>
      <c r="M18" s="2"/>
    </row>
    <row r="19" spans="2:13" x14ac:dyDescent="0.3">
      <c r="B19" s="2">
        <v>300</v>
      </c>
      <c r="C19" s="2">
        <v>200</v>
      </c>
      <c r="D19" s="2" t="str">
        <f t="shared" si="3"/>
        <v>WRONG</v>
      </c>
      <c r="E19" s="2" t="b">
        <f t="shared" si="4"/>
        <v>0</v>
      </c>
      <c r="F19" s="2" t="b">
        <f t="shared" si="5"/>
        <v>1</v>
      </c>
      <c r="G19" s="2" t="b">
        <f t="shared" si="6"/>
        <v>1</v>
      </c>
      <c r="H19" s="2" t="str">
        <f t="shared" si="7"/>
        <v>ACCEP</v>
      </c>
      <c r="I19" s="2" t="str">
        <f t="shared" si="8"/>
        <v>OVERBUD</v>
      </c>
      <c r="J19" s="2"/>
      <c r="K19" s="2"/>
      <c r="L19" s="2"/>
      <c r="M19" s="2"/>
    </row>
    <row r="20" spans="2:13" x14ac:dyDescent="0.3">
      <c r="B20" s="2">
        <v>100</v>
      </c>
      <c r="C20" s="2">
        <v>600</v>
      </c>
      <c r="D20" s="2" t="str">
        <f t="shared" si="3"/>
        <v>RIGHT</v>
      </c>
      <c r="E20" s="2" t="b">
        <f t="shared" si="4"/>
        <v>0</v>
      </c>
      <c r="F20" s="2" t="b">
        <f t="shared" si="5"/>
        <v>1</v>
      </c>
      <c r="G20" s="2" t="b">
        <f t="shared" si="6"/>
        <v>0</v>
      </c>
      <c r="H20" s="2" t="str">
        <f t="shared" si="7"/>
        <v>ACCEP</v>
      </c>
      <c r="I20" s="2" t="str">
        <f t="shared" si="8"/>
        <v>OVERBUD</v>
      </c>
      <c r="J20" s="2"/>
      <c r="K20" s="2"/>
      <c r="L20" s="2"/>
      <c r="M20" s="2"/>
    </row>
    <row r="22" spans="2:13" x14ac:dyDescent="0.3">
      <c r="B22" s="6" t="s">
        <v>33</v>
      </c>
      <c r="C22" s="6" t="s">
        <v>34</v>
      </c>
      <c r="D22" s="6" t="s">
        <v>35</v>
      </c>
      <c r="E22" s="6" t="s">
        <v>36</v>
      </c>
      <c r="F22" s="6" t="s">
        <v>43</v>
      </c>
    </row>
    <row r="23" spans="2:13" x14ac:dyDescent="0.3">
      <c r="B23" s="2" t="s">
        <v>37</v>
      </c>
      <c r="C23" s="2" t="s">
        <v>41</v>
      </c>
      <c r="D23" s="2" t="s">
        <v>42</v>
      </c>
      <c r="E23" s="2" t="str">
        <f>IF(_xlfn.XOR(C23="WON",D23="WON"),"YES","NO")</f>
        <v>YES</v>
      </c>
      <c r="F23" s="2" t="str">
        <f>IF(OR(C23="WON",D23="WON"),"YES","NO")</f>
        <v>YES</v>
      </c>
    </row>
    <row r="24" spans="2:13" x14ac:dyDescent="0.3">
      <c r="B24" s="2" t="s">
        <v>38</v>
      </c>
      <c r="C24" s="2" t="s">
        <v>42</v>
      </c>
      <c r="D24" s="2" t="s">
        <v>41</v>
      </c>
      <c r="E24" s="2" t="str">
        <f t="shared" ref="E24:E26" si="9">IF(_xlfn.XOR(C24="WON",D24="WON"),"YES","NO")</f>
        <v>YES</v>
      </c>
      <c r="F24" s="2" t="str">
        <f t="shared" ref="F24:F26" si="10">IF(OR(C24="WON",D24="WON"),"YES","NO")</f>
        <v>YES</v>
      </c>
    </row>
    <row r="25" spans="2:13" x14ac:dyDescent="0.3">
      <c r="B25" s="2" t="s">
        <v>39</v>
      </c>
      <c r="C25" s="2" t="s">
        <v>42</v>
      </c>
      <c r="D25" s="2" t="s">
        <v>42</v>
      </c>
      <c r="E25" s="2" t="str">
        <f t="shared" si="9"/>
        <v>NO</v>
      </c>
      <c r="F25" s="2" t="str">
        <f t="shared" si="10"/>
        <v>NO</v>
      </c>
    </row>
    <row r="26" spans="2:13" x14ac:dyDescent="0.3">
      <c r="B26" s="2" t="s">
        <v>40</v>
      </c>
      <c r="C26" s="2" t="s">
        <v>41</v>
      </c>
      <c r="D26" s="2" t="s">
        <v>41</v>
      </c>
      <c r="E26" s="2" t="str">
        <f t="shared" si="9"/>
        <v>NO</v>
      </c>
      <c r="F26" s="2" t="str">
        <f t="shared" si="10"/>
        <v>YES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2025-07-13T16:10:04Z</dcterms:created>
  <dcterms:modified xsi:type="dcterms:W3CDTF">2025-07-16T16:54:02Z</dcterms:modified>
</cp:coreProperties>
</file>