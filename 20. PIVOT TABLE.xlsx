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C5E6522E-E278-42C3-8B02-EFBC441E319C}" xr6:coauthVersionLast="47" xr6:coauthVersionMax="47" xr10:uidLastSave="{00000000-0000-0000-0000-000000000000}"/>
  <bookViews>
    <workbookView xWindow="-108" yWindow="-108" windowWidth="23256" windowHeight="12576" xr2:uid="{38821757-CFB2-46C0-B7CF-CC6498007570}"/>
  </bookViews>
  <sheets>
    <sheet name="PIVOT TABLE" sheetId="1" r:id="rId1"/>
  </sheets>
  <calcPr calcId="191029"/>
  <pivotCaches>
    <pivotCache cacheId="169" r:id="rId2"/>
    <pivotCache cacheId="1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<sst xmlns="http://schemas.openxmlformats.org/spreadsheetml/2006/main" count="106" uniqueCount="65">
  <si>
    <t>Order Id.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</si>
  <si>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</si>
  <si>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</si>
  <si>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</si>
  <si>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</si>
  <si>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</si>
  <si>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</si>
  <si>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</si>
  <si>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</si>
  <si>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KL-2024-5607031</t>
  </si>
  <si>
    <t>LANIBOWERS</t>
  </si>
  <si>
    <t>AUSTRIA</t>
  </si>
  <si>
    <t>VIENNA</t>
  </si>
  <si>
    <t>CENTRAL</t>
  </si>
  <si>
    <t>KL-2024-5607032</t>
  </si>
  <si>
    <t>LANA ADKINS</t>
  </si>
  <si>
    <t>KL-2024-5607033</t>
  </si>
  <si>
    <t>SOPOLINE NOEL</t>
  </si>
  <si>
    <t>KL-2024-5607034</t>
  </si>
  <si>
    <t>ABBOT HORTON</t>
  </si>
  <si>
    <t>GERMANY</t>
  </si>
  <si>
    <t>LOWER SAXONY</t>
  </si>
  <si>
    <t>LANGEN</t>
  </si>
  <si>
    <t>Pivot Table</t>
  </si>
  <si>
    <t>Recommended Pivot Table</t>
  </si>
  <si>
    <t>KL-2024-5607035</t>
  </si>
  <si>
    <t>HEDDA LIVINGSTON</t>
  </si>
  <si>
    <t>Row Labels</t>
  </si>
  <si>
    <t>Sum of Sales</t>
  </si>
  <si>
    <t>KL-2024-5607036</t>
  </si>
  <si>
    <t>HENRY HODGES</t>
  </si>
  <si>
    <t>BIHAR</t>
  </si>
  <si>
    <t>KL-2024-5607037</t>
  </si>
  <si>
    <t>ARISTOTLE BARRETT</t>
  </si>
  <si>
    <t>INDIA</t>
  </si>
  <si>
    <t>MAHARASHTRA</t>
  </si>
  <si>
    <t>MUMBAI</t>
  </si>
  <si>
    <t>SOUTH</t>
  </si>
  <si>
    <t>NORTH</t>
  </si>
  <si>
    <t>FLEMISH BRABANT</t>
  </si>
  <si>
    <t>KL-2024-5607038</t>
  </si>
  <si>
    <t>WENDY NEAL</t>
  </si>
  <si>
    <t>PATNA</t>
  </si>
  <si>
    <t>HOVEDSTADEN</t>
  </si>
  <si>
    <t>KL-2024-5607039</t>
  </si>
  <si>
    <t>RAYMOND MCKENZIE</t>
  </si>
  <si>
    <t>SPAIN</t>
  </si>
  <si>
    <t>VALENCIANA</t>
  </si>
  <si>
    <t>GANDIA</t>
  </si>
  <si>
    <t>Grand Total</t>
  </si>
  <si>
    <t>ILE-DE-FRANCE</t>
  </si>
  <si>
    <t>KL-2024-5607040</t>
  </si>
  <si>
    <t>ZEPHR HICKMAN</t>
  </si>
  <si>
    <t>DENMARK</t>
  </si>
  <si>
    <t>COPENHAGEN</t>
  </si>
  <si>
    <t>KL-2024-5607041</t>
  </si>
  <si>
    <t>GEORGIA KANE</t>
  </si>
  <si>
    <t>FRANCE</t>
  </si>
  <si>
    <t>VILLIERS-SUR-MARNE</t>
  </si>
  <si>
    <t>KL-2024-5607042</t>
  </si>
  <si>
    <t>STELLA DEJESUS</t>
  </si>
  <si>
    <t>BELGIUM</t>
  </si>
  <si>
    <t>LEUVEN</t>
  </si>
  <si>
    <t>KL-2024-5607043</t>
  </si>
  <si>
    <t>DAHLIA 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</si>
</sst>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pivotButton="1" applyFont="1" applyFill="1" applyBorder="1" applyAlignment="1">
      <alignment horizontal="center" vertical="center"/>
    </xf>
    <xf numFmtId="0" fontId="6" fillId="4" borderId="1" xfId="0" pivotButton="1" applyFont="1" applyFill="1" applyBorder="1" applyAlignment="1">
      <alignment horizontal="center" vertical="center"/>
    </xf>
  </cellXfs>
  <cellStyles count="1">
    <cellStyle name="Normal" xfId="0" builtinId="0"/>
  </cellStyles>
  <dxfs count="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51.673350810182" createdVersion="8" refreshedVersion="8" minRefreshableVersion="3" recordCount="13" xr:uid="{296C0727-BBDE-4D8D-93AD-5C2E12C6C518}">
  <cacheSource type="worksheet">
    <worksheetSource ref="C1:I14" sheet="PIVOT TABLE" r:id="rId2"/>
  </cacheSource>
  <cacheFields count="7">
    <cacheField name="Customer Name" numFmtId="0">
      <sharedItems/>
    </cacheField>
    <cacheField name="Country" numFmtId="0">
      <sharedItems/>
    </cacheField>
    <cacheField name="State" numFmtId="0">
      <sharedItems count="8">
        <s v="VIENNA"/>
        <s v="LOWER SAXONY"/>
        <s v="MAHARASHTRA"/>
        <s v="BIHAR"/>
        <s v="VALENCIANA"/>
        <s v="HOVEDSTADEN"/>
        <s v="ILE-DE-FRANCE"/>
        <s v="FLEMISH BRABANT"/>
      </sharedItems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51.654332638886" createdVersion="8" refreshedVersion="8" minRefreshableVersion="3" recordCount="13" xr:uid="{F8183691-1CC3-4A4F-8606-71F6D4B3D1F5}">
  <cacheSource type="worksheet">
    <worksheetSource ref="A1:I14" sheet="PIVOT TABLE" r:id="rId2"/>
  </cacheSource>
  <cacheFields count="9">
    <cacheField name="Order Id." numFmtId="0">
      <sharedItems/>
    </cacheField>
    <cacheField name="Order date" numFmtId="14">
      <sharedItems containsSemiMixedTypes="0" containsNonDate="0" containsDate="1" containsString="0" minDate="2024-06-06T00:00:00" maxDate="2024-06-19T00:00:00"/>
    </cacheField>
    <cacheField name="Customer Name" numFmtId="0">
      <sharedItems/>
    </cacheField>
    <cacheField name="Country" numFmtId="0">
      <sharedItems count="7">
        <s v="AUSTRIA"/>
        <s v="GERMANY"/>
        <s v="INDIA"/>
        <s v="SPAIN"/>
        <s v="DENMARK"/>
        <s v="FRANCE"/>
        <s v="BELGIUM"/>
      </sharedItems>
    </cacheField>
    <cacheField name="State" numFmtId="0">
      <sharedItems/>
    </cacheField>
    <cacheField name="City" numFmtId="0">
      <sharedItems count="8">
        <s v="VIENNA"/>
        <s v="LANGEN"/>
        <s v="MUMBAI"/>
        <s v="PATNA"/>
        <s v="GANDIA"/>
        <s v="COPENHAGEN"/>
        <s v="VILLIERS-SUR-MARNE"/>
        <s v="LEUVEN"/>
      </sharedItems>
    </cacheField>
    <cacheField name="Region" numFmtId="0">
      <sharedItems count="3">
        <s v="CENTRAL"/>
        <s v="SOUTH"/>
        <s v="NORTH"/>
      </sharedItems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LANIBOWERS"/>
    <s v="AUSTRIA"/>
    <x v="0"/>
    <s v="VIENNA"/>
    <s v="CENTRAL"/>
    <n v="2934"/>
    <n v="1819"/>
  </r>
  <r>
    <s v="LANA ADKINS"/>
    <s v="AUSTRIA"/>
    <x v="0"/>
    <s v="VIENNA"/>
    <s v="CENTRAL"/>
    <n v="2234"/>
    <n v="1564"/>
  </r>
  <r>
    <s v="SOPOLINE NOEL"/>
    <s v="AUSTRIA"/>
    <x v="0"/>
    <s v="VIENNA"/>
    <s v="CENTRAL"/>
    <n v="4534"/>
    <n v="2453"/>
  </r>
  <r>
    <s v="ABBOT HORTON"/>
    <s v="GERMANY"/>
    <x v="1"/>
    <s v="LANGEN"/>
    <s v="CENTRAL"/>
    <n v="5646"/>
    <n v="7823"/>
  </r>
  <r>
    <s v="HEDDA LIVINGSTON"/>
    <s v="GERMANY"/>
    <x v="1"/>
    <s v="LANGEN"/>
    <s v="CENTRAL"/>
    <n v="5683"/>
    <n v="9865"/>
  </r>
  <r>
    <s v="HENRY HODGES"/>
    <s v="GERMANY"/>
    <x v="1"/>
    <s v="LANGEN"/>
    <s v="CENTRAL"/>
    <n v="5458"/>
    <n v="2456"/>
  </r>
  <r>
    <s v="ARISTOTLE BARRETT"/>
    <s v="INDIA"/>
    <x v="2"/>
    <s v="MUMBAI"/>
    <s v="SOUTH"/>
    <n v="8964"/>
    <n v="3256"/>
  </r>
  <r>
    <s v="WENDY NEAL"/>
    <s v="INDIA"/>
    <x v="3"/>
    <s v="PATNA"/>
    <s v="SOUTH"/>
    <n v="2235"/>
    <n v="2463"/>
  </r>
  <r>
    <s v="RAYMOND MCKENZIE"/>
    <s v="SPAIN"/>
    <x v="4"/>
    <s v="GANDIA"/>
    <s v="SOUTH"/>
    <n v="5656"/>
    <n v="2395"/>
  </r>
  <r>
    <s v="ZEPHR HICKMAN"/>
    <s v="DENMARK"/>
    <x v="5"/>
    <s v="COPENHAGEN"/>
    <s v="NORTH"/>
    <n v="5656"/>
    <n v="2365"/>
  </r>
  <r>
    <s v="GEORGIA KANE"/>
    <s v="FRANCE"/>
    <x v="6"/>
    <s v="VILLIERS-SUR-MARNE"/>
    <s v="CENTRAL"/>
    <n v="6656"/>
    <n v="2563"/>
  </r>
  <r>
    <s v="STELLA DEJESUS"/>
    <s v="BELGIUM"/>
    <x v="7"/>
    <s v="LEUVEN"/>
    <s v="CENTRAL"/>
    <n v="7893"/>
    <n v="2563"/>
  </r>
  <r>
    <s v="DAHLIA PORTER"/>
    <s v="BELGIUM"/>
    <x v="7"/>
    <s v="LEUVEN"/>
    <s v="CENTRAL"/>
    <n v="1586"/>
    <n v="25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d v="2024-06-06T00:00:00"/>
    <s v="LANIBOWERS"/>
    <x v="0"/>
    <s v="VIENNA"/>
    <x v="0"/>
    <x v="0"/>
    <n v="2934"/>
    <n v="1819"/>
  </r>
  <r>
    <s v="KL-2024-5607032"/>
    <d v="2024-06-07T00:00:00"/>
    <s v="LANA ADKINS"/>
    <x v="0"/>
    <s v="VIENNA"/>
    <x v="0"/>
    <x v="0"/>
    <n v="2234"/>
    <n v="1564"/>
  </r>
  <r>
    <s v="KL-2024-5607033"/>
    <d v="2024-06-08T00:00:00"/>
    <s v="SOPOLINE NOEL"/>
    <x v="0"/>
    <s v="VIENNA"/>
    <x v="0"/>
    <x v="0"/>
    <n v="4534"/>
    <n v="2453"/>
  </r>
  <r>
    <s v="KL-2024-5607034"/>
    <d v="2024-06-09T00:00:00"/>
    <s v="ABBOT HORTON"/>
    <x v="1"/>
    <s v="LOWER SAXONY"/>
    <x v="1"/>
    <x v="0"/>
    <n v="5646"/>
    <n v="7823"/>
  </r>
  <r>
    <s v="KL-2024-5607035"/>
    <d v="2024-06-10T00:00:00"/>
    <s v="HEDDA LIVINGSTON"/>
    <x v="1"/>
    <s v="LOWER SAXONY"/>
    <x v="1"/>
    <x v="0"/>
    <n v="5683"/>
    <n v="9865"/>
  </r>
  <r>
    <s v="KL-2024-5607036"/>
    <d v="2024-06-11T00:00:00"/>
    <s v="HENRY HODGES"/>
    <x v="1"/>
    <s v="LOWER SAXONY"/>
    <x v="1"/>
    <x v="0"/>
    <n v="5458"/>
    <n v="2456"/>
  </r>
  <r>
    <s v="KL-2024-5607037"/>
    <d v="2024-06-12T00:00:00"/>
    <s v="ARISTOTLE BARRETT"/>
    <x v="2"/>
    <s v="MAHARASHTRA"/>
    <x v="2"/>
    <x v="1"/>
    <n v="8964"/>
    <n v="3256"/>
  </r>
  <r>
    <s v="KL-2024-5607038"/>
    <d v="2024-06-13T00:00:00"/>
    <s v="WENDY NEAL"/>
    <x v="2"/>
    <s v="BIHAR"/>
    <x v="3"/>
    <x v="1"/>
    <n v="2235"/>
    <n v="2463"/>
  </r>
  <r>
    <s v="KL-2024-5607039"/>
    <d v="2024-06-14T00:00:00"/>
    <s v="RAYMOND MCKENZIE"/>
    <x v="3"/>
    <s v="VALENCIANA"/>
    <x v="4"/>
    <x v="1"/>
    <n v="5656"/>
    <n v="2395"/>
  </r>
  <r>
    <s v="KL-2024-5607040"/>
    <d v="2024-06-15T00:00:00"/>
    <s v="ZEPHR HICKMAN"/>
    <x v="4"/>
    <s v="HOVEDSTADEN"/>
    <x v="5"/>
    <x v="2"/>
    <n v="5656"/>
    <n v="2365"/>
  </r>
  <r>
    <s v="KL-2024-5607041"/>
    <d v="2024-06-16T00:00:00"/>
    <s v="GEORGIA KANE"/>
    <x v="5"/>
    <s v="ILE-DE-FRANCE"/>
    <x v="6"/>
    <x v="0"/>
    <n v="6656"/>
    <n v="2563"/>
  </r>
  <r>
    <s v="KL-2024-5607042"/>
    <d v="2024-06-17T00:00:00"/>
    <s v="STELLA DEJESUS"/>
    <x v="6"/>
    <s v="FLEMISH BRABANT"/>
    <x v="7"/>
    <x v="0"/>
    <n v="7893"/>
    <n v="2563"/>
  </r>
  <r>
    <s v="KL-2024-5607043"/>
    <d v="2024-06-18T00:00:00"/>
    <s v="DAHLIA PORTER"/>
    <x v="6"/>
    <s v="FLEMISH BRABANT"/>
    <x v="7"/>
    <x v="0"/>
    <n v="1586"/>
    <n v="2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1B78F-6785-455A-A833-1303D3D24B4E}" name="PivotTable7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L10" firstHeaderRow="1" firstDataRow="1" firstDataCol="1"/>
  <pivotFields count="9">
    <pivotField showAll="0"/>
    <pivotField numFmtId="14" showAll="0"/>
    <pivotField showAll="0"/>
    <pivotField axis="axisRow" showAll="0">
      <items count="8">
        <item sd="0" x="0"/>
        <item sd="0" x="6"/>
        <item sd="0" x="4"/>
        <item sd="0" x="5"/>
        <item sd="0" x="1"/>
        <item sd="0" x="2"/>
        <item sd="0" x="3"/>
        <item t="default"/>
      </items>
    </pivotField>
    <pivotField showAll="0"/>
    <pivotField axis="axisRow" showAll="0">
      <items count="9">
        <item x="5"/>
        <item x="4"/>
        <item x="1"/>
        <item x="7"/>
        <item x="2"/>
        <item x="3"/>
        <item x="0"/>
        <item x="6"/>
        <item t="default"/>
      </items>
    </pivotField>
    <pivotField axis="axisRow" showAll="0">
      <items count="4">
        <item sd="0" x="0"/>
        <item sd="0" x="2"/>
        <item sd="0" x="1"/>
        <item t="default"/>
      </items>
    </pivotField>
    <pivotField dataField="1" showAll="0"/>
    <pivotField showAll="0"/>
  </pivotFields>
  <rowFields count="3">
    <field x="6"/>
    <field x="5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formats count="39">
    <format dxfId="0">
      <pivotArea outline="0" collapsedLevelsAreSubtotals="1" fieldPosition="0"/>
    </format>
    <format dxfId="1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3" type="button" dataOnly="0" labelOnly="1" outline="0" axis="axisRow" fieldPosition="2"/>
    </format>
    <format dxfId="6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8">
      <pivotArea dataOnly="0" labelOnly="1" outline="0" axis="axisValues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3" type="button" dataOnly="0" labelOnly="1" outline="0" axis="axisRow" fieldPosition="2"/>
    </format>
    <format dxfId="12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3" type="button" dataOnly="0" labelOnly="1" outline="0" axis="axisRow" fieldPosition="2"/>
    </format>
    <format dxfId="18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3" type="button" dataOnly="0" labelOnly="1" outline="0" axis="axisRow" fieldPosition="2"/>
    </format>
    <format dxfId="24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3" type="button" dataOnly="0" labelOnly="1" outline="0" axis="axisRow" fieldPosition="2"/>
    </format>
    <format dxfId="30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3" type="button" dataOnly="0" labelOnly="1" outline="0" axis="axisRow" fieldPosition="2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6FD19-AC12-4509-8190-613B224E788A}" name="PivotTable6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6:O15" firstHeaderRow="1" firstDataRow="1" firstDataCol="1"/>
  <pivotFields count="7">
    <pivotField showAll="0"/>
    <pivotField showAll="0"/>
    <pivotField axis="axisRow" showAll="0">
      <items count="9">
        <item x="3"/>
        <item x="7"/>
        <item x="5"/>
        <item x="6"/>
        <item x="1"/>
        <item x="2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formats count="36"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  <format dxfId="68">
      <pivotArea dataOnly="0" labelOnly="1" outline="0" axis="axisValues" fieldPosition="0"/>
    </format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F6FA-F737-43B7-88C6-DB2ACB623A09}">
  <dimension ref="A1:O15"/>
  <sheetViews>
    <sheetView tabSelected="1" workbookViewId="0">
      <selection activeCell="B20" sqref="B20"/>
    </sheetView>
  </sheetViews>
  <sheetFormatPr defaultRowHeight="14.4" x14ac:dyDescent="0.3"/>
  <cols>
    <col min="1" max="2" width="19.33203125" customWidth="1"/>
    <col min="3" max="3" width="24.44140625" bestFit="1" customWidth="1"/>
    <col min="4" max="9" width="19.33203125" customWidth="1"/>
    <col min="10" max="10" width="10.5546875" customWidth="1"/>
    <col min="11" max="11" width="19.33203125" bestFit="1" customWidth="1"/>
    <col min="12" max="12" width="15.5546875" bestFit="1" customWidth="1"/>
    <col min="13" max="13" width="7.88671875" bestFit="1" customWidth="1"/>
    <col min="14" max="14" width="30.5546875" customWidth="1"/>
    <col min="15" max="15" width="26" customWidth="1"/>
    <col min="16" max="16" width="14.44140625" bestFit="1" customWidth="1"/>
    <col min="17" max="17" width="13.88671875" bestFit="1" customWidth="1"/>
    <col min="18" max="18" width="12.88671875" bestFit="1" customWidth="1"/>
    <col min="19" max="20" width="9.33203125" bestFit="1" customWidth="1"/>
    <col min="21" max="21" width="7.33203125" bestFit="1" customWidth="1"/>
    <col min="22" max="22" width="12.6640625" bestFit="1" customWidth="1"/>
    <col min="23" max="23" width="11.5546875" bestFit="1" customWidth="1"/>
  </cols>
  <sheetData>
    <row r="1" spans="1:15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5" ht="15.6" x14ac:dyDescent="0.3">
      <c r="A2" s="3" t="s">
        <v>9</v>
      </c>
      <c r="B2" s="4">
        <v>45449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>
        <v>2934</v>
      </c>
      <c r="I2" s="3">
        <v>1819</v>
      </c>
      <c r="J2" s="5"/>
    </row>
    <row r="3" spans="1:15" ht="15.6" x14ac:dyDescent="0.3">
      <c r="A3" s="3" t="s">
        <v>14</v>
      </c>
      <c r="B3" s="4">
        <v>45450</v>
      </c>
      <c r="C3" s="3" t="s">
        <v>15</v>
      </c>
      <c r="D3" s="3" t="s">
        <v>11</v>
      </c>
      <c r="E3" s="3" t="s">
        <v>12</v>
      </c>
      <c r="F3" s="3" t="s">
        <v>12</v>
      </c>
      <c r="G3" s="3" t="s">
        <v>13</v>
      </c>
      <c r="H3" s="3">
        <v>2234</v>
      </c>
      <c r="I3" s="3">
        <v>1564</v>
      </c>
      <c r="J3" s="5"/>
    </row>
    <row r="4" spans="1:15" ht="15.6" x14ac:dyDescent="0.3">
      <c r="A4" s="3" t="s">
        <v>16</v>
      </c>
      <c r="B4" s="4">
        <v>45451</v>
      </c>
      <c r="C4" s="3" t="s">
        <v>17</v>
      </c>
      <c r="D4" s="3" t="s">
        <v>11</v>
      </c>
      <c r="E4" s="3" t="s">
        <v>12</v>
      </c>
      <c r="F4" s="3" t="s">
        <v>12</v>
      </c>
      <c r="G4" s="3" t="s">
        <v>13</v>
      </c>
      <c r="H4" s="3">
        <v>4534</v>
      </c>
      <c r="I4" s="3">
        <v>2453</v>
      </c>
      <c r="J4" s="5"/>
    </row>
    <row r="5" spans="1:15" ht="33.6" x14ac:dyDescent="0.3">
      <c r="A5" s="3" t="s">
        <v>18</v>
      </c>
      <c r="B5" s="4">
        <v>45452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13</v>
      </c>
      <c r="H5" s="3">
        <v>5646</v>
      </c>
      <c r="I5" s="3">
        <v>7823</v>
      </c>
      <c r="J5" s="5"/>
      <c r="K5" s="6" t="s">
        <v>23</v>
      </c>
      <c r="L5" s="7"/>
      <c r="N5" s="8" t="s">
        <v>24</v>
      </c>
      <c r="O5" s="8"/>
    </row>
    <row r="6" spans="1:15" ht="21" x14ac:dyDescent="0.3">
      <c r="A6" s="3" t="s">
        <v>25</v>
      </c>
      <c r="B6" s="4">
        <v>45453</v>
      </c>
      <c r="C6" s="3" t="s">
        <v>26</v>
      </c>
      <c r="D6" s="3" t="s">
        <v>20</v>
      </c>
      <c r="E6" s="3" t="s">
        <v>21</v>
      </c>
      <c r="F6" s="3" t="s">
        <v>22</v>
      </c>
      <c r="G6" s="3" t="s">
        <v>13</v>
      </c>
      <c r="H6" s="3">
        <v>5683</v>
      </c>
      <c r="I6" s="3">
        <v>9865</v>
      </c>
      <c r="J6" s="5"/>
      <c r="K6" s="12" t="s">
        <v>27</v>
      </c>
      <c r="L6" s="9" t="s">
        <v>28</v>
      </c>
      <c r="N6" s="11" t="s">
        <v>27</v>
      </c>
      <c r="O6" s="10" t="s">
        <v>28</v>
      </c>
    </row>
    <row r="7" spans="1:15" ht="21" x14ac:dyDescent="0.3">
      <c r="A7" s="3" t="s">
        <v>29</v>
      </c>
      <c r="B7" s="4">
        <v>45454</v>
      </c>
      <c r="C7" s="3" t="s">
        <v>30</v>
      </c>
      <c r="D7" s="3" t="s">
        <v>20</v>
      </c>
      <c r="E7" s="3" t="s">
        <v>21</v>
      </c>
      <c r="F7" s="3" t="s">
        <v>22</v>
      </c>
      <c r="G7" s="3" t="s">
        <v>13</v>
      </c>
      <c r="H7" s="3">
        <v>5458</v>
      </c>
      <c r="I7" s="3">
        <v>2456</v>
      </c>
      <c r="J7" s="5"/>
      <c r="K7" s="9" t="s">
        <v>13</v>
      </c>
      <c r="L7" s="9">
        <v>42624</v>
      </c>
      <c r="N7" s="10" t="s">
        <v>31</v>
      </c>
      <c r="O7" s="10">
        <v>2235</v>
      </c>
    </row>
    <row r="8" spans="1:15" ht="21" x14ac:dyDescent="0.3">
      <c r="A8" s="3" t="s">
        <v>32</v>
      </c>
      <c r="B8" s="4">
        <v>45455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>
        <v>8964</v>
      </c>
      <c r="I8" s="3">
        <v>3256</v>
      </c>
      <c r="J8" s="5"/>
      <c r="K8" s="9" t="s">
        <v>38</v>
      </c>
      <c r="L8" s="9">
        <v>5656</v>
      </c>
      <c r="N8" s="10" t="s">
        <v>39</v>
      </c>
      <c r="O8" s="10">
        <v>9479</v>
      </c>
    </row>
    <row r="9" spans="1:15" ht="21" x14ac:dyDescent="0.3">
      <c r="A9" s="3" t="s">
        <v>40</v>
      </c>
      <c r="B9" s="4">
        <v>45456</v>
      </c>
      <c r="C9" s="3" t="s">
        <v>41</v>
      </c>
      <c r="D9" s="3" t="s">
        <v>34</v>
      </c>
      <c r="E9" s="3" t="s">
        <v>31</v>
      </c>
      <c r="F9" s="3" t="s">
        <v>42</v>
      </c>
      <c r="G9" s="3" t="s">
        <v>37</v>
      </c>
      <c r="H9" s="3">
        <v>2235</v>
      </c>
      <c r="I9" s="3">
        <v>2463</v>
      </c>
      <c r="J9" s="5"/>
      <c r="K9" s="9" t="s">
        <v>37</v>
      </c>
      <c r="L9" s="9">
        <v>16855</v>
      </c>
      <c r="N9" s="10" t="s">
        <v>43</v>
      </c>
      <c r="O9" s="10">
        <v>5656</v>
      </c>
    </row>
    <row r="10" spans="1:15" ht="21" x14ac:dyDescent="0.3">
      <c r="A10" s="3" t="s">
        <v>44</v>
      </c>
      <c r="B10" s="4">
        <v>45457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37</v>
      </c>
      <c r="H10" s="3">
        <v>5656</v>
      </c>
      <c r="I10" s="3">
        <v>2395</v>
      </c>
      <c r="J10" s="5"/>
      <c r="K10" s="9" t="s">
        <v>49</v>
      </c>
      <c r="L10" s="9">
        <v>65135</v>
      </c>
      <c r="N10" s="10" t="s">
        <v>50</v>
      </c>
      <c r="O10" s="10">
        <v>6656</v>
      </c>
    </row>
    <row r="11" spans="1:15" ht="21" x14ac:dyDescent="0.3">
      <c r="A11" s="3" t="s">
        <v>51</v>
      </c>
      <c r="B11" s="4">
        <v>45458</v>
      </c>
      <c r="C11" s="3" t="s">
        <v>52</v>
      </c>
      <c r="D11" s="3" t="s">
        <v>53</v>
      </c>
      <c r="E11" s="3" t="s">
        <v>43</v>
      </c>
      <c r="F11" s="3" t="s">
        <v>54</v>
      </c>
      <c r="G11" s="3" t="s">
        <v>38</v>
      </c>
      <c r="H11" s="3">
        <v>5656</v>
      </c>
      <c r="I11" s="3">
        <v>2365</v>
      </c>
      <c r="J11" s="5"/>
      <c r="N11" s="10" t="s">
        <v>21</v>
      </c>
      <c r="O11" s="10">
        <v>16787</v>
      </c>
    </row>
    <row r="12" spans="1:15" ht="21" x14ac:dyDescent="0.3">
      <c r="A12" s="3" t="s">
        <v>55</v>
      </c>
      <c r="B12" s="4">
        <v>45459</v>
      </c>
      <c r="C12" s="3" t="s">
        <v>56</v>
      </c>
      <c r="D12" s="3" t="s">
        <v>57</v>
      </c>
      <c r="E12" s="3" t="s">
        <v>50</v>
      </c>
      <c r="F12" s="3" t="s">
        <v>58</v>
      </c>
      <c r="G12" s="3" t="s">
        <v>13</v>
      </c>
      <c r="H12" s="3">
        <v>6656</v>
      </c>
      <c r="I12" s="3">
        <v>2563</v>
      </c>
      <c r="J12" s="5"/>
      <c r="N12" s="10" t="s">
        <v>35</v>
      </c>
      <c r="O12" s="10">
        <v>8964</v>
      </c>
    </row>
    <row r="13" spans="1:15" ht="21" x14ac:dyDescent="0.3">
      <c r="A13" s="3" t="s">
        <v>59</v>
      </c>
      <c r="B13" s="4">
        <v>45460</v>
      </c>
      <c r="C13" s="3" t="s">
        <v>60</v>
      </c>
      <c r="D13" s="3" t="s">
        <v>61</v>
      </c>
      <c r="E13" s="3" t="s">
        <v>39</v>
      </c>
      <c r="F13" s="3" t="s">
        <v>62</v>
      </c>
      <c r="G13" s="3" t="s">
        <v>13</v>
      </c>
      <c r="H13" s="3">
        <v>7893</v>
      </c>
      <c r="I13" s="3">
        <v>2563</v>
      </c>
      <c r="J13" s="5"/>
      <c r="N13" s="10" t="s">
        <v>47</v>
      </c>
      <c r="O13" s="10">
        <v>5656</v>
      </c>
    </row>
    <row r="14" spans="1:15" ht="21" x14ac:dyDescent="0.3">
      <c r="A14" s="3" t="s">
        <v>63</v>
      </c>
      <c r="B14" s="4">
        <v>45461</v>
      </c>
      <c r="C14" s="3" t="s">
        <v>64</v>
      </c>
      <c r="D14" s="3" t="s">
        <v>61</v>
      </c>
      <c r="E14" s="3" t="s">
        <v>39</v>
      </c>
      <c r="F14" s="3" t="s">
        <v>62</v>
      </c>
      <c r="G14" s="3" t="s">
        <v>13</v>
      </c>
      <c r="H14" s="3">
        <v>1586</v>
      </c>
      <c r="I14" s="3">
        <v>2556</v>
      </c>
      <c r="J14" s="5"/>
      <c r="N14" s="10" t="s">
        <v>12</v>
      </c>
      <c r="O14" s="10">
        <v>9702</v>
      </c>
    </row>
    <row r="15" spans="1:15" ht="21" x14ac:dyDescent="0.3">
      <c r="N15" s="10" t="s">
        <v>49</v>
      </c>
      <c r="O15" s="10">
        <v>65135</v>
      </c>
    </row>
  </sheetData>
  <mergeCells count="2">
    <mergeCell ref="K5:L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2025-06-05T14:20:47Z</dcterms:created>
  <dcterms:modified xsi:type="dcterms:W3CDTF">2025-06-05T14:21:50Z</dcterms:modified>
</cp:coreProperties>
</file>