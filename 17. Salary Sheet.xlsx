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8_{D5DCB2D6-12FA-47B8-89B9-A3FFE8540678}" xr6:coauthVersionLast="47" xr6:coauthVersionMax="47" xr10:uidLastSave="{00000000-0000-0000-0000-000000000000}"/>
  <bookViews>
    <workbookView xWindow="-108" yWindow="-108" windowWidth="23256" windowHeight="12576" xr2:uid="{F3B45E88-4DFF-44F9-B5D0-C3AE2752054C}"/>
  </bookViews>
  <sheets>
    <sheet name="Salary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F9" i="1"/>
  <c r="M9" i="1" s="1"/>
  <c r="L8" i="1"/>
  <c r="K8" i="1"/>
  <c r="N8" i="1" s="1"/>
  <c r="H8" i="1"/>
  <c r="F8" i="1"/>
  <c r="M8" i="1" s="1"/>
  <c r="H7" i="1"/>
  <c r="F7" i="1"/>
  <c r="L7" i="1" s="1"/>
  <c r="L6" i="1"/>
  <c r="K6" i="1"/>
  <c r="H6" i="1"/>
  <c r="F6" i="1"/>
  <c r="M6" i="1" s="1"/>
  <c r="H5" i="1"/>
  <c r="F5" i="1"/>
  <c r="L5" i="1" s="1"/>
  <c r="N6" i="1" l="1"/>
  <c r="M5" i="1"/>
  <c r="M7" i="1"/>
  <c r="K5" i="1"/>
  <c r="N5" i="1" s="1"/>
  <c r="K7" i="1"/>
  <c r="K9" i="1"/>
  <c r="L9" i="1"/>
  <c r="N9" i="1" l="1"/>
  <c r="N7" i="1"/>
</calcChain>
</file>

<file path=xl/sharedStrings.xml><?xml version="1.0" encoding="utf-8"?>
<sst xmlns="http://schemas.openxmlformats.org/spreadsheetml/2006/main" count="25" uniqueCount="25">
  <si>
    <t>Salary Sheet</t>
  </si>
  <si>
    <t>ID No.</t>
  </si>
  <si>
    <t>Employee Name</t>
  </si>
  <si>
    <t>Designation</t>
  </si>
  <si>
    <t>Basic Salary</t>
  </si>
  <si>
    <t>Attendance</t>
  </si>
  <si>
    <t>Salary of Working Days</t>
  </si>
  <si>
    <t>Overtime in Hrs.</t>
  </si>
  <si>
    <t>Overtime Salary</t>
  </si>
  <si>
    <t>D.A.</t>
  </si>
  <si>
    <t>H.R.A</t>
  </si>
  <si>
    <t>Gross Salary</t>
  </si>
  <si>
    <t>E.S.I 2%</t>
  </si>
  <si>
    <t>P.F 8%</t>
  </si>
  <si>
    <t>Net Salary</t>
  </si>
  <si>
    <t>Rahul</t>
  </si>
  <si>
    <t>Manager</t>
  </si>
  <si>
    <t>Rajesh</t>
  </si>
  <si>
    <t>Asst. Manager</t>
  </si>
  <si>
    <t>Suresh</t>
  </si>
  <si>
    <t>Supervisor</t>
  </si>
  <si>
    <t>Naresh</t>
  </si>
  <si>
    <t>Staff</t>
  </si>
  <si>
    <t>Grijesh</t>
  </si>
  <si>
    <t>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</si>
</sst>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3222-7788-4126-89A0-72626AD4C846}">
  <dimension ref="A1:N10"/>
  <sheetViews>
    <sheetView tabSelected="1" workbookViewId="0">
      <selection activeCell="D13" sqref="D13"/>
    </sheetView>
  </sheetViews>
  <sheetFormatPr defaultRowHeight="14.4" x14ac:dyDescent="0.3"/>
  <cols>
    <col min="2" max="2" width="13.44140625" customWidth="1"/>
    <col min="3" max="3" width="16.33203125" customWidth="1"/>
    <col min="4" max="4" width="12.5546875" customWidth="1"/>
    <col min="5" max="5" width="17.44140625" customWidth="1"/>
    <col min="6" max="6" width="19.88671875" customWidth="1"/>
    <col min="7" max="7" width="15" customWidth="1"/>
    <col min="8" max="8" width="13.88671875" customWidth="1"/>
    <col min="12" max="12" width="8.33203125" customWidth="1"/>
    <col min="13" max="13" width="11.109375" customWidth="1"/>
    <col min="14" max="14" width="13.33203125" customWidth="1"/>
  </cols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51.6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3" t="s">
        <v>13</v>
      </c>
      <c r="N4" s="2" t="s">
        <v>14</v>
      </c>
    </row>
    <row r="5" spans="1:14" x14ac:dyDescent="0.3">
      <c r="A5" s="4">
        <v>101</v>
      </c>
      <c r="B5" s="4" t="s">
        <v>15</v>
      </c>
      <c r="C5" s="4" t="s">
        <v>16</v>
      </c>
      <c r="D5" s="4">
        <v>50000</v>
      </c>
      <c r="E5" s="4">
        <v>28</v>
      </c>
      <c r="F5" s="5">
        <f>D5/30*E5</f>
        <v>46666.666666666672</v>
      </c>
      <c r="G5" s="4">
        <v>25</v>
      </c>
      <c r="H5" s="5">
        <f>D5/30/8*G5</f>
        <v>5208.3333333333339</v>
      </c>
      <c r="I5" s="4">
        <v>1000</v>
      </c>
      <c r="J5" s="4">
        <v>8000</v>
      </c>
      <c r="K5" s="5">
        <f>F5+H5+I5+J5</f>
        <v>60875.000000000007</v>
      </c>
      <c r="L5" s="5">
        <f>F5*2/100</f>
        <v>933.33333333333348</v>
      </c>
      <c r="M5" s="5">
        <f>F5*8/100</f>
        <v>3733.3333333333339</v>
      </c>
      <c r="N5" s="5">
        <f>K5-L5-M5</f>
        <v>56208.333333333336</v>
      </c>
    </row>
    <row r="6" spans="1:14" x14ac:dyDescent="0.3">
      <c r="A6" s="4">
        <v>102</v>
      </c>
      <c r="B6" s="4" t="s">
        <v>17</v>
      </c>
      <c r="C6" s="4" t="s">
        <v>18</v>
      </c>
      <c r="D6" s="4">
        <v>35000</v>
      </c>
      <c r="E6" s="4">
        <v>30</v>
      </c>
      <c r="F6" s="5">
        <f t="shared" ref="F6:F9" si="0">D6/30*E6</f>
        <v>35000</v>
      </c>
      <c r="G6" s="4">
        <v>60</v>
      </c>
      <c r="H6" s="5">
        <f t="shared" ref="H6:H9" si="1">D6/30/8*G6</f>
        <v>8750</v>
      </c>
      <c r="I6" s="4">
        <v>500</v>
      </c>
      <c r="J6" s="4">
        <v>4500</v>
      </c>
      <c r="K6" s="5">
        <f t="shared" ref="K6:K9" si="2">F6+H6+I6+J6</f>
        <v>48750</v>
      </c>
      <c r="L6" s="5">
        <f t="shared" ref="L6:L9" si="3">F6*2/100</f>
        <v>700</v>
      </c>
      <c r="M6" s="5">
        <f t="shared" ref="M6:M9" si="4">F6*8/100</f>
        <v>2800</v>
      </c>
      <c r="N6" s="5">
        <f t="shared" ref="N6:N9" si="5">K6-L6-M6</f>
        <v>45250</v>
      </c>
    </row>
    <row r="7" spans="1:14" x14ac:dyDescent="0.3">
      <c r="A7" s="4">
        <v>103</v>
      </c>
      <c r="B7" s="4" t="s">
        <v>19</v>
      </c>
      <c r="C7" s="4" t="s">
        <v>20</v>
      </c>
      <c r="D7" s="4">
        <v>25000</v>
      </c>
      <c r="E7" s="4">
        <v>27</v>
      </c>
      <c r="F7" s="5">
        <f t="shared" si="0"/>
        <v>22500</v>
      </c>
      <c r="G7" s="4">
        <v>48</v>
      </c>
      <c r="H7" s="5">
        <f t="shared" si="1"/>
        <v>5000</v>
      </c>
      <c r="I7" s="4">
        <v>500</v>
      </c>
      <c r="J7" s="4">
        <v>5000</v>
      </c>
      <c r="K7" s="5">
        <f t="shared" si="2"/>
        <v>33000</v>
      </c>
      <c r="L7" s="5">
        <f t="shared" si="3"/>
        <v>450</v>
      </c>
      <c r="M7" s="5">
        <f t="shared" si="4"/>
        <v>1800</v>
      </c>
      <c r="N7" s="5">
        <f t="shared" si="5"/>
        <v>30750</v>
      </c>
    </row>
    <row r="8" spans="1:14" x14ac:dyDescent="0.3">
      <c r="A8" s="4">
        <v>104</v>
      </c>
      <c r="B8" s="4" t="s">
        <v>21</v>
      </c>
      <c r="C8" s="4" t="s">
        <v>22</v>
      </c>
      <c r="D8" s="4">
        <v>15000</v>
      </c>
      <c r="E8" s="4">
        <v>28</v>
      </c>
      <c r="F8" s="5">
        <f t="shared" si="0"/>
        <v>14000</v>
      </c>
      <c r="G8" s="4">
        <v>65</v>
      </c>
      <c r="H8" s="5">
        <f t="shared" si="1"/>
        <v>4062.5</v>
      </c>
      <c r="I8" s="4">
        <v>500</v>
      </c>
      <c r="J8" s="4">
        <v>4000</v>
      </c>
      <c r="K8" s="5">
        <f t="shared" si="2"/>
        <v>22562.5</v>
      </c>
      <c r="L8" s="5">
        <f t="shared" si="3"/>
        <v>280</v>
      </c>
      <c r="M8" s="5">
        <f t="shared" si="4"/>
        <v>1120</v>
      </c>
      <c r="N8" s="5">
        <f t="shared" si="5"/>
        <v>21162.5</v>
      </c>
    </row>
    <row r="9" spans="1:14" x14ac:dyDescent="0.3">
      <c r="A9" s="4">
        <v>105</v>
      </c>
      <c r="B9" s="4" t="s">
        <v>23</v>
      </c>
      <c r="C9" s="4" t="s">
        <v>24</v>
      </c>
      <c r="D9" s="4">
        <v>10000</v>
      </c>
      <c r="E9" s="4">
        <v>30</v>
      </c>
      <c r="F9" s="5">
        <f t="shared" si="0"/>
        <v>10000</v>
      </c>
      <c r="G9" s="4">
        <v>40</v>
      </c>
      <c r="H9" s="5">
        <f t="shared" si="1"/>
        <v>1666.6666666666665</v>
      </c>
      <c r="I9" s="4">
        <v>500</v>
      </c>
      <c r="J9" s="4">
        <v>2000</v>
      </c>
      <c r="K9" s="5">
        <f t="shared" si="2"/>
        <v>14166.666666666666</v>
      </c>
      <c r="L9" s="5">
        <f t="shared" si="3"/>
        <v>200</v>
      </c>
      <c r="M9" s="5">
        <f t="shared" si="4"/>
        <v>800</v>
      </c>
      <c r="N9" s="5">
        <f t="shared" si="5"/>
        <v>13166.666666666666</v>
      </c>
    </row>
    <row r="10" spans="1:14" x14ac:dyDescent="0.3">
      <c r="L10" s="6"/>
    </row>
  </sheetData>
  <mergeCells count="1">
    <mergeCell ref="A1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2025-06-05T14:14:42Z</dcterms:created>
  <dcterms:modified xsi:type="dcterms:W3CDTF">2025-06-05T14:15:51Z</dcterms:modified>
</cp:coreProperties>
</file>