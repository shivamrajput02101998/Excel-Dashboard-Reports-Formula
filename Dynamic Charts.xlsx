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4" documentId="14_{C6D47F78-0FEF-4C45-8577-EE7945D3DBC7}" xr6:coauthVersionLast="47" xr6:coauthVersionMax="47" xr10:uidLastSave="{7CAAD2DE-B017-4284-B617-230DA550C018}"/>
  <bookViews>
    <workbookView xWindow="-108" yWindow="-108" windowWidth="23256" windowHeight="12576" activeTab="1" xr2:uid="{7948692D-96BD-4B2B-A870-81D285B74DAD}"/>
  </bookViews>
  <sheets>
    <sheet name="DATA" sheetId="1" r:id="rId1"/>
    <sheet name="DASHBOARD" sheetId="2" r:id="rId2"/>
  </sheets>
  <definedNames>
    <definedName name="_xlnm._FilterDatabase" localSheetId="0" hidden="1">DATA!$B$2:$F$17</definedName>
    <definedName name="_xlnm.Extract" localSheetId="0">DATA!$H$12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2" l="1"/>
  <c r="N3" i="2"/>
  <c r="Q19" i="2"/>
  <c r="Q18" i="2"/>
  <c r="Q17" i="2"/>
  <c r="Q16" i="2"/>
  <c r="Q7" i="2"/>
  <c r="Q8" i="2" l="1"/>
  <c r="Q9" i="2"/>
  <c r="Q10" i="2"/>
  <c r="L22" i="2" l="1"/>
</calcChain>
</file>

<file path=xl/sharedStrings.xml><?xml version="1.0" encoding="utf-8"?>
<sst xmlns="http://schemas.openxmlformats.org/spreadsheetml/2006/main" count="90" uniqueCount="42">
  <si>
    <t>Name</t>
  </si>
  <si>
    <t>Product Name</t>
  </si>
  <si>
    <t>Country</t>
  </si>
  <si>
    <t>City</t>
  </si>
  <si>
    <t>Total Sale</t>
  </si>
  <si>
    <t>Manish</t>
  </si>
  <si>
    <t>Kapil</t>
  </si>
  <si>
    <t>Anil</t>
  </si>
  <si>
    <t>Rakesh</t>
  </si>
  <si>
    <t>Rohan</t>
  </si>
  <si>
    <t>Ram</t>
  </si>
  <si>
    <t>Om</t>
  </si>
  <si>
    <t>Mohan</t>
  </si>
  <si>
    <t>Sohan</t>
  </si>
  <si>
    <t>Aman</t>
  </si>
  <si>
    <t>Krishan</t>
  </si>
  <si>
    <t>Raman</t>
  </si>
  <si>
    <t>tvs</t>
  </si>
  <si>
    <t>hero</t>
  </si>
  <si>
    <t>bajaj</t>
  </si>
  <si>
    <t>honda</t>
  </si>
  <si>
    <t>Aus</t>
  </si>
  <si>
    <t>India</t>
  </si>
  <si>
    <t>UK</t>
  </si>
  <si>
    <t>USA</t>
  </si>
  <si>
    <t>leverpool</t>
  </si>
  <si>
    <t>glagow</t>
  </si>
  <si>
    <t>palwal</t>
  </si>
  <si>
    <t>sohana</t>
  </si>
  <si>
    <t>karachi</t>
  </si>
  <si>
    <t>delhi</t>
  </si>
  <si>
    <t>faridabad</t>
  </si>
  <si>
    <t>tuhana</t>
  </si>
  <si>
    <t>manchester</t>
  </si>
  <si>
    <t>london</t>
  </si>
  <si>
    <t>denver</t>
  </si>
  <si>
    <t>washington</t>
  </si>
  <si>
    <t>new yark</t>
  </si>
  <si>
    <t>bosten</t>
  </si>
  <si>
    <t>chicago</t>
  </si>
  <si>
    <t>DYNAMIC CHART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</si>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</sst>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9" xfId="0" applyFill="1" applyBorder="1"/>
    <xf numFmtId="0" fontId="0" fillId="5" borderId="7" xfId="0" applyFill="1" applyBorder="1"/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7AAA46-26F2-420F-8D67-E706861C32BF}"/>
  </tableStyles>
  <colors>
    <mruColors>
      <color rgb="FF0A0A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DASHBOARD!$N$3</c:f>
          <c:strCache>
            <c:ptCount val="1"/>
            <c:pt idx="0">
              <c:v>Total Sale In India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DASHBOARD!$Q$6</c:f>
              <c:strCache>
                <c:ptCount val="1"/>
                <c:pt idx="0">
                  <c:v>Total Sale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DASHBOARD!$P$7:$P$10</c:f>
              <c:strCache>
                <c:ptCount val="4"/>
                <c:pt idx="0">
                  <c:v>tvs</c:v>
                </c:pt>
                <c:pt idx="1">
                  <c:v>hero</c:v>
                </c:pt>
                <c:pt idx="2">
                  <c:v>bajaj</c:v>
                </c:pt>
                <c:pt idx="3">
                  <c:v>honda</c:v>
                </c:pt>
              </c:strCache>
            </c:strRef>
          </c:cat>
          <c:val>
            <c:numRef>
              <c:f>DASHBOARD!$Q$7:$Q$10</c:f>
              <c:numCache>
                <c:formatCode>General</c:formatCode>
                <c:ptCount val="4"/>
                <c:pt idx="0">
                  <c:v>2400</c:v>
                </c:pt>
                <c:pt idx="1">
                  <c:v>3000</c:v>
                </c:pt>
                <c:pt idx="2">
                  <c:v>5600</c:v>
                </c:pt>
                <c:pt idx="3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8-4F82-A2CB-24C905D177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2029757679"/>
        <c:axId val="2029761519"/>
      </c:barChart>
      <c:catAx>
        <c:axId val="202975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61519"/>
        <c:crosses val="autoZero"/>
        <c:auto val="1"/>
        <c:lblAlgn val="ctr"/>
        <c:lblOffset val="100"/>
        <c:noMultiLvlLbl val="0"/>
      </c:catAx>
      <c:valAx>
        <c:axId val="202976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75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C000"/>
    </a:solidFill>
    <a:ln w="19050" cap="flat" cmpd="sng" algn="ctr">
      <a:solidFill>
        <a:srgbClr val="0A0A0A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DASHBOARD!$N$7</c:f>
          <c:strCache>
            <c:ptCount val="1"/>
            <c:pt idx="0">
              <c:v>India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5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5950487344860799E-2"/>
          <c:y val="0.15231324193612852"/>
          <c:w val="0.82809902531027846"/>
          <c:h val="0.69890016920473774"/>
        </c:manualLayout>
      </c:layout>
      <c:pie3DChart>
        <c:varyColors val="1"/>
        <c:ser>
          <c:idx val="1"/>
          <c:order val="1"/>
          <c:tx>
            <c:strRef>
              <c:f>DASHBOARD!$Q$6</c:f>
              <c:strCache>
                <c:ptCount val="1"/>
                <c:pt idx="0">
                  <c:v>Total Sale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212-448F-949A-59C3F33A92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212-448F-949A-59C3F33A92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212-448F-949A-59C3F33A92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E212-448F-949A-59C3F33A927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2AD5E6B-A3D0-46DB-BB5D-3F86AA3F88F3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7466BBAC-CFE5-4D99-B1C7-7E73A4D866D5}" type="PERCENTAGE">
                      <a:rPr lang="en-US" baseline="0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212-448F-949A-59C3F33A9272}"/>
                </c:ext>
              </c:extLst>
            </c:dLbl>
            <c:dLbl>
              <c:idx val="1"/>
              <c:spPr>
                <a:noFill/>
                <a:ln w="9525">
                  <a:noFill/>
                </a:ln>
                <a:effectLst>
                  <a:outerShdw blurRad="215900" dist="50800" dir="5400000" algn="ctr" rotWithShape="0">
                    <a:srgbClr val="000000">
                      <a:alpha val="31000"/>
                    </a:srgbClr>
                  </a:outerShdw>
                  <a:softEdge rad="533400"/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E212-448F-949A-59C3F33A9272}"/>
                </c:ext>
              </c:extLst>
            </c:dLbl>
            <c:dLbl>
              <c:idx val="2"/>
              <c:spPr>
                <a:noFill/>
                <a:ln w="9525">
                  <a:noFill/>
                </a:ln>
                <a:effectLst>
                  <a:outerShdw blurRad="215900" dist="50800" dir="5400000" algn="ctr" rotWithShape="0">
                    <a:srgbClr val="000000">
                      <a:alpha val="31000"/>
                    </a:srgbClr>
                  </a:outerShdw>
                  <a:softEdge rad="533400"/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E212-448F-949A-59C3F33A9272}"/>
                </c:ext>
              </c:extLst>
            </c:dLbl>
            <c:dLbl>
              <c:idx val="3"/>
              <c:spPr>
                <a:noFill/>
                <a:ln w="9525">
                  <a:noFill/>
                </a:ln>
                <a:effectLst>
                  <a:outerShdw blurRad="215900" dist="50800" dir="5400000" algn="ctr" rotWithShape="0">
                    <a:srgbClr val="000000">
                      <a:alpha val="31000"/>
                    </a:srgbClr>
                  </a:outerShdw>
                  <a:softEdge rad="533400"/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E212-448F-949A-59C3F33A9272}"/>
                </c:ext>
              </c:extLst>
            </c:dLbl>
            <c:spPr>
              <a:noFill/>
              <a:ln w="9525">
                <a:noFill/>
              </a:ln>
              <a:effectLst>
                <a:outerShdw blurRad="215900" dist="50800" dir="5400000" algn="ctr" rotWithShape="0">
                  <a:srgbClr val="000000">
                    <a:alpha val="31000"/>
                  </a:srgbClr>
                </a:outerShdw>
                <a:softEdge rad="533400"/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DASHBOARD!$Q$7:$Q$10</c:f>
              <c:numCache>
                <c:formatCode>General</c:formatCode>
                <c:ptCount val="4"/>
                <c:pt idx="0">
                  <c:v>2400</c:v>
                </c:pt>
                <c:pt idx="1">
                  <c:v>3000</c:v>
                </c:pt>
                <c:pt idx="2">
                  <c:v>5600</c:v>
                </c:pt>
                <c:pt idx="3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5F1-4FF3-9DE8-E09AB6702654}"/>
            </c:ext>
          </c:extLst>
        </c:ser>
        <c:ser>
          <c:idx val="2"/>
          <c:order val="2"/>
          <c:tx>
            <c:strRef>
              <c:f>DASHBOARD!$P$6</c:f>
              <c:strCache>
                <c:ptCount val="1"/>
                <c:pt idx="0">
                  <c:v>Product Name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E212-448F-949A-59C3F33A92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E212-448F-949A-59C3F33A92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E212-448F-949A-59C3F33A92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E212-448F-949A-59C3F33A9272}"/>
              </c:ext>
            </c:extLst>
          </c:dPt>
          <c:dLbls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DASHBOARD!$P$7:$P$10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5F1-4FF3-9DE8-E09AB6702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DASHBOARD!$Q$6</c15:sqref>
                        </c15:formulaRef>
                      </c:ext>
                    </c:extLst>
                    <c:strCache>
                      <c:ptCount val="1"/>
                      <c:pt idx="0">
                        <c:v>Total Sale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>
                    <c:ext xmlns:c16="http://schemas.microsoft.com/office/drawing/2014/chart" uri="{C3380CC4-5D6E-409C-BE32-E72D297353CC}">
                      <c16:uniqueId val="{00000001-85F1-4FF3-9DE8-E09AB670265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>
                    <c:ext xmlns:c16="http://schemas.microsoft.com/office/drawing/2014/chart" uri="{C3380CC4-5D6E-409C-BE32-E72D297353CC}">
                      <c16:uniqueId val="{00000003-85F1-4FF3-9DE8-E09AB670265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>
                    <c:ext xmlns:c16="http://schemas.microsoft.com/office/drawing/2014/chart" uri="{C3380CC4-5D6E-409C-BE32-E72D297353CC}">
                      <c16:uniqueId val="{00000005-85F1-4FF3-9DE8-E09AB670265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 prstMaterial="matte"/>
                  </c:spPr>
                  <c:extLst>
                    <c:ext xmlns:c16="http://schemas.microsoft.com/office/drawing/2014/chart" uri="{C3380CC4-5D6E-409C-BE32-E72D297353CC}">
                      <c16:uniqueId val="{00000007-85F1-4FF3-9DE8-E09AB6702654}"/>
                    </c:ext>
                  </c:extLst>
                </c:dPt>
                <c:dLbls>
                  <c:spPr>
                    <a:solidFill>
                      <a:sysClr val="window" lastClr="FFFFFF">
                        <a:alpha val="75000"/>
                      </a:sysClr>
                    </a:solidFill>
                    <a:ln w="9525">
                      <a:solidFill>
                        <a:sysClr val="windowText" lastClr="000000">
                          <a:lumMod val="25000"/>
                          <a:lumOff val="75000"/>
                        </a:sys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DASHBOARD!$P$7:$P$10</c15:sqref>
                        </c15:formulaRef>
                      </c:ext>
                    </c:extLst>
                    <c:strCache>
                      <c:ptCount val="4"/>
                      <c:pt idx="0">
                        <c:v>tvs</c:v>
                      </c:pt>
                      <c:pt idx="1">
                        <c:v>hero</c:v>
                      </c:pt>
                      <c:pt idx="2">
                        <c:v>bajaj</c:v>
                      </c:pt>
                      <c:pt idx="3">
                        <c:v>honda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DASHBOARD!$Q$7:$Q$10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2400</c:v>
                      </c:pt>
                      <c:pt idx="1">
                        <c:v>3000</c:v>
                      </c:pt>
                      <c:pt idx="2">
                        <c:v>5600</c:v>
                      </c:pt>
                      <c:pt idx="3">
                        <c:v>5400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3EE-432B-B899-980CF0A28227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17614186417652566"/>
          <c:y val="0.88274381278256453"/>
          <c:w val="0.64436618789485489"/>
          <c:h val="9.107817674623131E-2"/>
        </c:manualLayout>
      </c:layout>
      <c:overlay val="1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20000"/>
        <a:lumOff val="80000"/>
      </a:schemeClr>
    </a:solidFill>
    <a:ln w="19050" cap="flat" cmpd="sng" algn="ctr">
      <a:solidFill>
        <a:srgbClr val="0A0A0A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2</xdr:row>
      <xdr:rowOff>68580</xdr:rowOff>
    </xdr:from>
    <xdr:to>
      <xdr:col>7</xdr:col>
      <xdr:colOff>563880</xdr:colOff>
      <xdr:row>16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50C97D-2810-1FC9-4713-0F4CFF2AC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38523</xdr:colOff>
      <xdr:row>2</xdr:row>
      <xdr:rowOff>67734</xdr:rowOff>
    </xdr:from>
    <xdr:to>
      <xdr:col>12</xdr:col>
      <xdr:colOff>964353</xdr:colOff>
      <xdr:row>16</xdr:row>
      <xdr:rowOff>124460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6E7E13-9DE7-A68B-F6E7-CD975DB03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C756D-1E2D-43CE-A639-BDAB7367AA91}">
  <dimension ref="B2:H17"/>
  <sheetViews>
    <sheetView workbookViewId="0">
      <selection activeCell="D20" sqref="D20"/>
    </sheetView>
  </sheetViews>
  <sheetFormatPr defaultRowHeight="14.4" x14ac:dyDescent="0.3"/>
  <cols>
    <col min="2" max="2" width="13.44140625" customWidth="1"/>
    <col min="3" max="3" width="21.33203125" bestFit="1" customWidth="1"/>
    <col min="4" max="4" width="14.109375" customWidth="1"/>
    <col min="5" max="5" width="17.77734375" customWidth="1"/>
    <col min="6" max="6" width="16.21875" customWidth="1"/>
    <col min="8" max="8" width="21.33203125" bestFit="1" customWidth="1"/>
  </cols>
  <sheetData>
    <row r="2" spans="2:8" ht="23.4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8" ht="18" x14ac:dyDescent="0.3">
      <c r="B3" s="1" t="s">
        <v>5</v>
      </c>
      <c r="C3" s="1" t="s">
        <v>17</v>
      </c>
      <c r="D3" s="1" t="s">
        <v>21</v>
      </c>
      <c r="E3" s="1" t="s">
        <v>25</v>
      </c>
      <c r="F3" s="1">
        <v>3000</v>
      </c>
    </row>
    <row r="4" spans="2:8" ht="18" x14ac:dyDescent="0.3">
      <c r="B4" s="1" t="s">
        <v>6</v>
      </c>
      <c r="C4" s="1" t="s">
        <v>17</v>
      </c>
      <c r="D4" s="1" t="s">
        <v>21</v>
      </c>
      <c r="E4" s="1" t="s">
        <v>26</v>
      </c>
      <c r="F4" s="1">
        <v>3400</v>
      </c>
    </row>
    <row r="5" spans="2:8" ht="23.4" x14ac:dyDescent="0.3">
      <c r="B5" s="1" t="s">
        <v>7</v>
      </c>
      <c r="C5" s="1" t="s">
        <v>18</v>
      </c>
      <c r="D5" s="1" t="s">
        <v>21</v>
      </c>
      <c r="E5" s="1" t="s">
        <v>27</v>
      </c>
      <c r="F5" s="1">
        <v>6000</v>
      </c>
      <c r="H5" s="2" t="s">
        <v>2</v>
      </c>
    </row>
    <row r="6" spans="2:8" ht="18" x14ac:dyDescent="0.3">
      <c r="B6" s="1" t="s">
        <v>8</v>
      </c>
      <c r="C6" s="1" t="s">
        <v>19</v>
      </c>
      <c r="D6" s="1" t="s">
        <v>22</v>
      </c>
      <c r="E6" s="1" t="s">
        <v>28</v>
      </c>
      <c r="F6" s="1">
        <v>5600</v>
      </c>
      <c r="H6" s="1" t="s">
        <v>21</v>
      </c>
    </row>
    <row r="7" spans="2:8" ht="18" x14ac:dyDescent="0.3">
      <c r="B7" s="1" t="s">
        <v>9</v>
      </c>
      <c r="C7" s="1" t="s">
        <v>18</v>
      </c>
      <c r="D7" s="1" t="s">
        <v>22</v>
      </c>
      <c r="E7" s="1" t="s">
        <v>29</v>
      </c>
      <c r="F7" s="1">
        <v>3000</v>
      </c>
      <c r="H7" s="1" t="s">
        <v>22</v>
      </c>
    </row>
    <row r="8" spans="2:8" ht="18" x14ac:dyDescent="0.3">
      <c r="B8" s="1" t="s">
        <v>10</v>
      </c>
      <c r="C8" s="1" t="s">
        <v>17</v>
      </c>
      <c r="D8" s="1" t="s">
        <v>22</v>
      </c>
      <c r="E8" s="1" t="s">
        <v>30</v>
      </c>
      <c r="F8" s="1">
        <v>2400</v>
      </c>
      <c r="H8" s="1" t="s">
        <v>23</v>
      </c>
    </row>
    <row r="9" spans="2:8" ht="18" x14ac:dyDescent="0.3">
      <c r="B9" s="1" t="s">
        <v>11</v>
      </c>
      <c r="C9" s="1" t="s">
        <v>20</v>
      </c>
      <c r="D9" s="1" t="s">
        <v>22</v>
      </c>
      <c r="E9" s="1" t="s">
        <v>31</v>
      </c>
      <c r="F9" s="1">
        <v>5400</v>
      </c>
      <c r="H9" s="1" t="s">
        <v>24</v>
      </c>
    </row>
    <row r="10" spans="2:8" ht="18" x14ac:dyDescent="0.3">
      <c r="B10" s="1" t="s">
        <v>10</v>
      </c>
      <c r="C10" s="1" t="s">
        <v>20</v>
      </c>
      <c r="D10" s="1" t="s">
        <v>21</v>
      </c>
      <c r="E10" s="1" t="s">
        <v>32</v>
      </c>
      <c r="F10" s="1">
        <v>7800</v>
      </c>
    </row>
    <row r="11" spans="2:8" ht="18" x14ac:dyDescent="0.3">
      <c r="B11" s="1" t="s">
        <v>12</v>
      </c>
      <c r="C11" s="1" t="s">
        <v>20</v>
      </c>
      <c r="D11" s="1" t="s">
        <v>23</v>
      </c>
      <c r="E11" s="1" t="s">
        <v>33</v>
      </c>
      <c r="F11" s="1">
        <v>8900</v>
      </c>
    </row>
    <row r="12" spans="2:8" ht="23.4" x14ac:dyDescent="0.3">
      <c r="B12" s="1" t="s">
        <v>13</v>
      </c>
      <c r="C12" s="1" t="s">
        <v>19</v>
      </c>
      <c r="D12" s="1" t="s">
        <v>23</v>
      </c>
      <c r="E12" s="1" t="s">
        <v>34</v>
      </c>
      <c r="F12" s="1">
        <v>7700</v>
      </c>
      <c r="H12" s="2" t="s">
        <v>1</v>
      </c>
    </row>
    <row r="13" spans="2:8" ht="18" x14ac:dyDescent="0.3">
      <c r="B13" s="1" t="s">
        <v>14</v>
      </c>
      <c r="C13" s="1" t="s">
        <v>19</v>
      </c>
      <c r="D13" s="1" t="s">
        <v>24</v>
      </c>
      <c r="E13" s="1" t="s">
        <v>35</v>
      </c>
      <c r="F13" s="1">
        <v>3400</v>
      </c>
      <c r="H13" s="1" t="s">
        <v>17</v>
      </c>
    </row>
    <row r="14" spans="2:8" ht="18" x14ac:dyDescent="0.3">
      <c r="B14" s="1" t="s">
        <v>15</v>
      </c>
      <c r="C14" s="1" t="s">
        <v>20</v>
      </c>
      <c r="D14" s="1" t="s">
        <v>24</v>
      </c>
      <c r="E14" s="1" t="s">
        <v>36</v>
      </c>
      <c r="F14" s="1">
        <v>5600</v>
      </c>
      <c r="H14" s="1" t="s">
        <v>18</v>
      </c>
    </row>
    <row r="15" spans="2:8" ht="18" x14ac:dyDescent="0.3">
      <c r="B15" s="1" t="s">
        <v>15</v>
      </c>
      <c r="C15" s="1" t="s">
        <v>17</v>
      </c>
      <c r="D15" s="1" t="s">
        <v>24</v>
      </c>
      <c r="E15" s="1" t="s">
        <v>37</v>
      </c>
      <c r="F15" s="1">
        <v>4500</v>
      </c>
      <c r="H15" s="1" t="s">
        <v>19</v>
      </c>
    </row>
    <row r="16" spans="2:8" ht="18" x14ac:dyDescent="0.3">
      <c r="B16" s="1" t="s">
        <v>13</v>
      </c>
      <c r="C16" s="1" t="s">
        <v>18</v>
      </c>
      <c r="D16" s="1" t="s">
        <v>24</v>
      </c>
      <c r="E16" s="1" t="s">
        <v>38</v>
      </c>
      <c r="F16" s="1">
        <v>5600</v>
      </c>
      <c r="H16" s="1" t="s">
        <v>20</v>
      </c>
    </row>
    <row r="17" spans="2:6" ht="18" x14ac:dyDescent="0.3">
      <c r="B17" s="1" t="s">
        <v>16</v>
      </c>
      <c r="C17" s="1" t="s">
        <v>17</v>
      </c>
      <c r="D17" s="1" t="s">
        <v>24</v>
      </c>
      <c r="E17" s="1" t="s">
        <v>39</v>
      </c>
      <c r="F17" s="1">
        <v>5650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079-F0F0-4B6F-A483-63DA7D206B02}">
  <dimension ref="B1:R25"/>
  <sheetViews>
    <sheetView tabSelected="1" zoomScale="90" zoomScaleNormal="90" workbookViewId="0">
      <selection activeCell="T22" sqref="T22"/>
    </sheetView>
  </sheetViews>
  <sheetFormatPr defaultRowHeight="14.4" x14ac:dyDescent="0.3"/>
  <cols>
    <col min="1" max="1" width="1.44140625" customWidth="1"/>
    <col min="3" max="3" width="12.5546875" bestFit="1" customWidth="1"/>
    <col min="4" max="4" width="15.6640625" bestFit="1" customWidth="1"/>
    <col min="9" max="9" width="11.5546875" customWidth="1"/>
    <col min="10" max="10" width="10.88671875" customWidth="1"/>
    <col min="11" max="11" width="10.109375" customWidth="1"/>
    <col min="12" max="12" width="15.109375" customWidth="1"/>
    <col min="13" max="13" width="18.33203125" customWidth="1"/>
    <col min="14" max="14" width="12.21875" bestFit="1" customWidth="1"/>
    <col min="16" max="16" width="21.33203125" bestFit="1" customWidth="1"/>
    <col min="17" max="17" width="19.33203125" bestFit="1" customWidth="1"/>
  </cols>
  <sheetData>
    <row r="1" spans="2:18" ht="5.4" customHeight="1" thickBot="1" x14ac:dyDescent="0.35"/>
    <row r="2" spans="2:18" ht="31.8" thickBot="1" x14ac:dyDescent="0.35">
      <c r="B2" s="26" t="s">
        <v>40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8"/>
    </row>
    <row r="3" spans="2:18" x14ac:dyDescent="0.3"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19" t="str">
        <f>"Total Sale In "&amp;N7</f>
        <v>Total Sale In India</v>
      </c>
      <c r="O3" s="19"/>
      <c r="P3" s="19"/>
      <c r="Q3" s="19"/>
      <c r="R3" s="22"/>
    </row>
    <row r="4" spans="2:18" x14ac:dyDescent="0.3">
      <c r="B4" s="20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3"/>
      <c r="O4" s="3"/>
      <c r="P4" s="3"/>
      <c r="Q4" s="3"/>
      <c r="R4" s="22"/>
    </row>
    <row r="5" spans="2:18" x14ac:dyDescent="0.3"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2"/>
    </row>
    <row r="6" spans="2:18" ht="23.4" x14ac:dyDescent="0.3">
      <c r="B6" s="20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" t="s">
        <v>2</v>
      </c>
      <c r="O6" s="21"/>
      <c r="P6" s="2" t="s">
        <v>1</v>
      </c>
      <c r="Q6" s="2" t="s">
        <v>4</v>
      </c>
      <c r="R6" s="22"/>
    </row>
    <row r="7" spans="2:18" ht="18" x14ac:dyDescent="0.3"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1" t="s">
        <v>22</v>
      </c>
      <c r="O7" s="21"/>
      <c r="P7" s="1" t="s">
        <v>17</v>
      </c>
      <c r="Q7" s="1">
        <f>SUMIFS(DATA!F3:F17,DATA!D3:D17,DASHBOARD!$N$7,DATA!C3:C17,DASHBOARD!P7)</f>
        <v>2400</v>
      </c>
      <c r="R7" s="22"/>
    </row>
    <row r="8" spans="2:18" ht="18" x14ac:dyDescent="0.3"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1" t="s">
        <v>18</v>
      </c>
      <c r="Q8" s="1">
        <f>SUMIFS(DATA!F4:F18,DATA!D4:D18,DASHBOARD!$N$7,DATA!C4:C18,DASHBOARD!P8)</f>
        <v>3000</v>
      </c>
      <c r="R8" s="22"/>
    </row>
    <row r="9" spans="2:18" ht="18" x14ac:dyDescent="0.3"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1" t="s">
        <v>19</v>
      </c>
      <c r="Q9" s="1">
        <f>SUMIFS(DATA!F5:F19,DATA!D5:D19,DASHBOARD!$N$7,DATA!C5:C19,DASHBOARD!P9)</f>
        <v>5600</v>
      </c>
      <c r="R9" s="22"/>
    </row>
    <row r="10" spans="2:18" ht="18" x14ac:dyDescent="0.3"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1" t="s">
        <v>20</v>
      </c>
      <c r="Q10" s="1">
        <f>SUMIFS(DATA!F6:F20,DATA!D6:D20,DASHBOARD!$N$7,DATA!C6:C20,DASHBOARD!P10)</f>
        <v>5400</v>
      </c>
      <c r="R10" s="22"/>
    </row>
    <row r="11" spans="2:18" x14ac:dyDescent="0.3"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2"/>
    </row>
    <row r="12" spans="2:18" x14ac:dyDescent="0.3"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2"/>
    </row>
    <row r="13" spans="2:18" x14ac:dyDescent="0.3"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2"/>
    </row>
    <row r="14" spans="2:18" x14ac:dyDescent="0.3"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2"/>
    </row>
    <row r="15" spans="2:18" ht="23.4" x14ac:dyDescent="0.3"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" t="s">
        <v>1</v>
      </c>
      <c r="Q15" s="2" t="s">
        <v>41</v>
      </c>
      <c r="R15" s="22"/>
    </row>
    <row r="16" spans="2:18" ht="18" x14ac:dyDescent="0.3"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1" t="s">
        <v>17</v>
      </c>
      <c r="Q16" s="1">
        <f>COUNTIFS(DATA!$D$3:$D$17,DASHBOARD!$N$7,DATA!$C$3:$C$17,DASHBOARD!P16)</f>
        <v>1</v>
      </c>
      <c r="R16" s="22"/>
    </row>
    <row r="17" spans="2:18" ht="18" x14ac:dyDescent="0.3"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1" t="s">
        <v>18</v>
      </c>
      <c r="Q17" s="1">
        <f>COUNTIFS(DATA!$D$3:$D$17,DASHBOARD!$N$7,DATA!$C$3:$C$17,DASHBOARD!P17)</f>
        <v>1</v>
      </c>
      <c r="R17" s="22"/>
    </row>
    <row r="18" spans="2:18" ht="18" x14ac:dyDescent="0.3"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1" t="s">
        <v>19</v>
      </c>
      <c r="Q18" s="1">
        <f>COUNTIFS(DATA!$D$3:$D$17,DASHBOARD!$N$7,DATA!$C$3:$C$17,DASHBOARD!P18)</f>
        <v>1</v>
      </c>
      <c r="R18" s="22"/>
    </row>
    <row r="19" spans="2:18" ht="18" x14ac:dyDescent="0.3"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1" t="s">
        <v>20</v>
      </c>
      <c r="Q19" s="1">
        <f>COUNTIFS(DATA!$D$3:$D$17,DASHBOARD!$N$7,DATA!$C$3:$C$17,DASHBOARD!P19)</f>
        <v>1</v>
      </c>
      <c r="R19" s="22"/>
    </row>
    <row r="20" spans="2:18" x14ac:dyDescent="0.3"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2"/>
    </row>
    <row r="21" spans="2:18" ht="15" thickBot="1" x14ac:dyDescent="0.35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</row>
    <row r="22" spans="2:18" ht="14.4" customHeight="1" x14ac:dyDescent="0.3">
      <c r="B22" s="20"/>
      <c r="C22" s="21"/>
      <c r="D22" s="21"/>
      <c r="E22" s="21"/>
      <c r="F22" s="21"/>
      <c r="G22" s="21"/>
      <c r="H22" s="21"/>
      <c r="I22" s="10" t="str">
        <f>"Total Sale In "&amp;N7</f>
        <v>Total Sale In India</v>
      </c>
      <c r="J22" s="11"/>
      <c r="K22" s="12"/>
      <c r="L22" s="4">
        <f>SUM(Q7:Q10)</f>
        <v>16400</v>
      </c>
      <c r="M22" s="5"/>
      <c r="N22" s="21"/>
      <c r="O22" s="21"/>
      <c r="P22" s="21"/>
      <c r="Q22" s="21"/>
      <c r="R22" s="22"/>
    </row>
    <row r="23" spans="2:18" ht="14.4" customHeight="1" x14ac:dyDescent="0.3">
      <c r="B23" s="20"/>
      <c r="C23" s="21"/>
      <c r="D23" s="21"/>
      <c r="E23" s="21"/>
      <c r="F23" s="21"/>
      <c r="G23" s="21"/>
      <c r="H23" s="21"/>
      <c r="I23" s="13"/>
      <c r="J23" s="14"/>
      <c r="K23" s="15"/>
      <c r="L23" s="6"/>
      <c r="M23" s="7"/>
      <c r="N23" s="21"/>
      <c r="O23" s="21"/>
      <c r="P23" s="21"/>
      <c r="Q23" s="21"/>
      <c r="R23" s="22"/>
    </row>
    <row r="24" spans="2:18" ht="15" thickBot="1" x14ac:dyDescent="0.35">
      <c r="B24" s="20"/>
      <c r="C24" s="21"/>
      <c r="D24" s="21"/>
      <c r="E24" s="21"/>
      <c r="F24" s="21"/>
      <c r="G24" s="21"/>
      <c r="H24" s="21"/>
      <c r="I24" s="16"/>
      <c r="J24" s="17"/>
      <c r="K24" s="18"/>
      <c r="L24" s="8"/>
      <c r="M24" s="9"/>
      <c r="N24" s="21"/>
      <c r="O24" s="21"/>
      <c r="P24" s="21"/>
      <c r="Q24" s="21"/>
      <c r="R24" s="22"/>
    </row>
    <row r="25" spans="2:18" ht="15" thickBot="1" x14ac:dyDescent="0.35"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5"/>
    </row>
  </sheetData>
  <mergeCells count="4">
    <mergeCell ref="N3:Q4"/>
    <mergeCell ref="I22:K24"/>
    <mergeCell ref="L22:M24"/>
    <mergeCell ref="B2:R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3FD160-70D0-47AC-9936-4B05E6A8C4A5}">
          <x14:formula1>
            <xm:f>DATA!$H$6:$H$9</xm:f>
          </x14:formula1>
          <xm:sqref>N7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DASHBOARD</vt:lpstr>
      <vt:lpstr>DATA!Extract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2025-07-23T05:21:28Z</dcterms:created>
  <dcterms:modified xsi:type="dcterms:W3CDTF">2025-07-24T17:11:40Z</dcterms:modified>
</cp:coreProperties>
</file>